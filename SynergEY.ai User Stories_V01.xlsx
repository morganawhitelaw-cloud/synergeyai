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7"/>
  <workbookPr/>
  <mc:AlternateContent xmlns:mc="http://schemas.openxmlformats.org/markup-compatibility/2006">
    <mc:Choice Requires="x15">
      <x15ac:absPath xmlns:x15ac="http://schemas.microsoft.com/office/spreadsheetml/2010/11/ac" url="https://eyus.sharepoint.com/sites/SaTGenAIModernization-Americas/Shared Documents/General/07_Products by Competency/01 Deal Mgmt/BnI/04 SynergEY.ai/"/>
    </mc:Choice>
  </mc:AlternateContent>
  <xr:revisionPtr revIDLastSave="3274" documentId="8_{1731342A-CF04-42B2-95FC-68B52F9B0671}" xr6:coauthVersionLast="47" xr6:coauthVersionMax="47" xr10:uidLastSave="{3BA1F085-7748-42DA-8FF3-F85B6DF1495C}"/>
  <bookViews>
    <workbookView xWindow="-108" yWindow="-108" windowWidth="23256" windowHeight="13896" tabRatio="328" firstSheet="6" activeTab="2" xr2:uid="{00000000-000D-0000-FFFF-FFFF00000000}"/>
  </bookViews>
  <sheets>
    <sheet name="User Stories" sheetId="3" r:id="rId1"/>
    <sheet name="User Stories Synergy" sheetId="5" r:id="rId2"/>
    <sheet name="Sheet2" sheetId="15" r:id="rId3"/>
    <sheet name="Dependencies" sheetId="4" r:id="rId4"/>
    <sheet name="Developement timeline " sheetId="9" r:id="rId5"/>
    <sheet name="Sheet1" sheetId="13" r:id="rId6"/>
    <sheet name="Developement timeline" sheetId="6" state="hidden" r:id="rId7"/>
    <sheet name="Sprint Plan for MVP" sheetId="14" r:id="rId8"/>
    <sheet name="Sprint Plan " sheetId="12" r:id="rId9"/>
    <sheet name="Sprint Plan" sheetId="8" state="hidden" r:id="rId10"/>
    <sheet name="Resource" sheetId="7" r:id="rId11"/>
    <sheet name="Drop Downs" sheetId="2" state="hidden" r:id="rId12"/>
    <sheet name="Census API Requirements" sheetId="10" r:id="rId13"/>
    <sheet name="Spend API Requirements" sheetId="11" r:id="rId14"/>
  </sheets>
  <definedNames>
    <definedName name="_xlnm._FilterDatabase" localSheetId="0" hidden="1">'User Stories'!$C$4:$P$76</definedName>
    <definedName name="_xlnm._FilterDatabase" localSheetId="1" hidden="1">'User Stories Synergy'!$A$3:$T$105</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45861.6446296296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4" i="15" l="1"/>
  <c r="I33" i="15"/>
  <c r="I32" i="15"/>
  <c r="I31" i="15"/>
  <c r="I30" i="15"/>
  <c r="I27" i="15"/>
  <c r="I26" i="15"/>
  <c r="I25" i="15"/>
  <c r="I24" i="15"/>
  <c r="I23" i="15"/>
  <c r="I22" i="15"/>
  <c r="I21" i="15"/>
  <c r="I20" i="15"/>
  <c r="I19" i="15"/>
  <c r="I18" i="15"/>
  <c r="I17" i="15"/>
  <c r="I16" i="15"/>
  <c r="I15" i="15"/>
  <c r="I14" i="15"/>
  <c r="I13" i="15"/>
  <c r="I12" i="15"/>
  <c r="I11" i="15"/>
  <c r="I10" i="15"/>
  <c r="I9" i="15"/>
  <c r="I8" i="15"/>
  <c r="I7" i="15"/>
  <c r="I6" i="15"/>
  <c r="I5" i="15"/>
  <c r="I4" i="15"/>
  <c r="J142" i="5"/>
  <c r="J117" i="5"/>
  <c r="J116" i="5"/>
  <c r="J105" i="5"/>
  <c r="J52" i="5"/>
  <c r="J33" i="5"/>
  <c r="J34" i="5"/>
  <c r="J35" i="5"/>
  <c r="J32" i="5"/>
  <c r="J29" i="5"/>
  <c r="P4" i="9"/>
  <c r="M6" i="9"/>
  <c r="M7" i="9"/>
  <c r="M11" i="9"/>
  <c r="M5" i="9"/>
  <c r="Q5" i="9"/>
  <c r="J6" i="5"/>
  <c r="J7" i="5"/>
  <c r="J8" i="5"/>
  <c r="J9" i="5"/>
  <c r="J10" i="5"/>
  <c r="J11" i="5"/>
  <c r="J12" i="5"/>
  <c r="J13" i="5"/>
  <c r="J14" i="5"/>
  <c r="J15" i="5"/>
  <c r="J16" i="5"/>
  <c r="J17" i="5"/>
  <c r="J18" i="5"/>
  <c r="J19" i="5"/>
  <c r="J20" i="5"/>
  <c r="J21" i="5"/>
  <c r="J22" i="5"/>
  <c r="J23" i="5"/>
  <c r="J24" i="5"/>
  <c r="J25" i="5"/>
  <c r="J26" i="5"/>
  <c r="J27" i="5"/>
  <c r="J5" i="5"/>
  <c r="G20" i="9"/>
  <c r="G6" i="9"/>
  <c r="G7" i="9"/>
  <c r="G11" i="9"/>
  <c r="G11" i="6"/>
  <c r="J7" i="6"/>
  <c r="J8" i="6"/>
  <c r="J9" i="6"/>
  <c r="J10" i="6"/>
  <c r="J11" i="6"/>
  <c r="J5" i="6"/>
  <c r="J6" i="6"/>
  <c r="J8" i="9"/>
  <c r="M8" i="9" s="1"/>
  <c r="J7" i="9"/>
  <c r="J9" i="9"/>
  <c r="M9" i="9" s="1"/>
  <c r="J10" i="9"/>
  <c r="M10" i="9" s="1"/>
  <c r="J11" i="9"/>
  <c r="H5" i="9"/>
  <c r="J6" i="9"/>
  <c r="F12" i="9"/>
  <c r="F11" i="9"/>
  <c r="H11" i="9" s="1"/>
  <c r="F10" i="9"/>
  <c r="H10" i="9" s="1"/>
  <c r="F9" i="9"/>
  <c r="H9" i="9" s="1"/>
  <c r="F8" i="9"/>
  <c r="H8" i="9" s="1"/>
  <c r="F7" i="9"/>
  <c r="H7" i="9" s="1"/>
  <c r="F6" i="9"/>
  <c r="H6" i="9" s="1"/>
  <c r="G5" i="9"/>
  <c r="G14" i="6"/>
  <c r="G15" i="6" s="1"/>
  <c r="G16" i="6"/>
  <c r="G17" i="6" s="1"/>
  <c r="H5" i="6"/>
  <c r="G6" i="6"/>
  <c r="G7" i="6"/>
  <c r="G8" i="6"/>
  <c r="G9" i="6"/>
  <c r="G5" i="6"/>
  <c r="F7" i="6"/>
  <c r="H7" i="6" s="1"/>
  <c r="F8" i="6"/>
  <c r="H8" i="6" s="1"/>
  <c r="F9" i="6"/>
  <c r="H9" i="6" s="1"/>
  <c r="F10" i="6"/>
  <c r="F11" i="6"/>
  <c r="H11" i="6" s="1"/>
  <c r="F12" i="6"/>
  <c r="F6" i="6"/>
  <c r="M13" i="9" l="1"/>
  <c r="G14" i="9"/>
  <c r="G15" i="9" s="1"/>
  <c r="G16" i="9" s="1"/>
  <c r="G17" i="9" s="1"/>
  <c r="J5" i="9"/>
  <c r="H10" i="6"/>
  <c r="F14" i="6"/>
  <c r="F15" i="6" s="1"/>
  <c r="F16" i="6" s="1"/>
  <c r="F17" i="6" s="1"/>
  <c r="F14" i="9"/>
  <c r="H6" i="6"/>
  <c r="F15" i="9" l="1"/>
  <c r="F16" i="9" s="1"/>
  <c r="F17" i="9" s="1"/>
</calcChain>
</file>

<file path=xl/sharedStrings.xml><?xml version="1.0" encoding="utf-8"?>
<sst xmlns="http://schemas.openxmlformats.org/spreadsheetml/2006/main" count="3681" uniqueCount="1505">
  <si>
    <t>User Stories - SynergEY.ai</t>
  </si>
  <si>
    <t>Column added by Rishikesh:</t>
  </si>
  <si>
    <t>Epic</t>
  </si>
  <si>
    <t>Tool / Process</t>
  </si>
  <si>
    <t>Feature</t>
  </si>
  <si>
    <t>User Story</t>
  </si>
  <si>
    <t>Description</t>
  </si>
  <si>
    <t>Acceptance Criteria</t>
  </si>
  <si>
    <t>Rishi validate the latest list to ensure completeness since workshop</t>
  </si>
  <si>
    <t>Priority</t>
  </si>
  <si>
    <t>Parent</t>
  </si>
  <si>
    <t>Date Received</t>
  </si>
  <si>
    <t>Received By</t>
  </si>
  <si>
    <t>Version Assignment</t>
  </si>
  <si>
    <t>PPMD Approver</t>
  </si>
  <si>
    <t xml:space="preserve">Status
</t>
  </si>
  <si>
    <t>Comments</t>
  </si>
  <si>
    <t>Session Management</t>
  </si>
  <si>
    <t>Project Creation and Inputs</t>
  </si>
  <si>
    <t>Login via SSO</t>
  </si>
  <si>
    <t>As a user, I want to log in via Capital Edge SSO so that I can access the tool securely without managing separate credentials.</t>
  </si>
  <si>
    <t>Enable user to login via Capital Edge SSO, ensuring secure access</t>
  </si>
  <si>
    <t>SSO Integration:
The login page should display a “Sign in with Capital Edge” button.
Clicking the button should redirect the user to the Capital Edge SSO authentication page.
Authentication Flow:
User enters enterprise credentials on the SSO page.
Upon successful authentication:
User is redirected back to the application dashboard.
Session is established with appropriate security tokens.
Security Requirements:
All communication must use HTTPS.
Tokens should be validated and refreshed according to Capital Edge security policies.
Failed authentication should display an error message:
“Authentication failed. Please check your credentials or contact support.”</t>
  </si>
  <si>
    <t>High</t>
  </si>
  <si>
    <t>New - Not Started</t>
  </si>
  <si>
    <t>Session Watermark</t>
  </si>
  <si>
    <t>As a user, I want my session to display a watermark containing project name, timestamp, session ID, and user details so that I can identify the session context easily.</t>
  </si>
  <si>
    <t>Session watermarking: project name followed by timestamp, session ID and user</t>
  </si>
  <si>
    <t>The watermark should include:
Project name
Timestamp (in DD-MM-YYYY HH:MM format)
Session ID (unique identifier)
Username
The watermark should be visible throughout the session on the tool interface.
The watermark should update if the session is refreshed or restarted.</t>
  </si>
  <si>
    <t>Activity Logging</t>
  </si>
  <si>
    <t>As an admin, I want the system to log user activity so that I can track usage patterns and audit actions.</t>
  </si>
  <si>
    <t>Activity Logging: logs which user used the tool, which analyses (HC, non-HC, and real estate) were selected, and the duration of time for which they used the tool</t>
  </si>
  <si>
    <t>The log should capture:
Username
Analyses selected (HC, non-HC, Real Estate)
Session start and end time
Duration of tool usage
Logs should be stored securely and retrievable for audit purposes.
Logs should be generated in real-time and saved even if the session times out.</t>
  </si>
  <si>
    <t>Timeout Policies</t>
  </si>
  <si>
    <t>As a user, I want my session to automatically time out after 30 minutes of inactivity so that security and resource efficiency are maintained.</t>
  </si>
  <si>
    <t>Timeout policies: 30 minutes timeout session on the tool based on inactivity. Warn user 1 minute prior to timeout, and dialog box appears with the option to continue working in the tool and reset the 30 minute timer. If the minute expires then the unsaved work will be lost.</t>
  </si>
  <si>
    <t>Session should expire after 30 minutes of inactivity.
A warning dialog should appear 1 minute before timeout with:
Message: “Your session will expire in 1 minute due to inactivity.”
Option: Continue Working (resets the 30-minute timer)
If the user does not respond within 1 minute:
Session ends
Unsaved work is lost
After timeout, the user should be redirected to the login page.</t>
  </si>
  <si>
    <t xml:space="preserve">Project creation </t>
  </si>
  <si>
    <t>Create New project</t>
  </si>
  <si>
    <t>As a user, I want to open the UI and select "Create New Project" so that I can start inputing project details</t>
  </si>
  <si>
    <t>Open user interface (UI) and select "New Project"</t>
  </si>
  <si>
    <t>The UI should have a “New Project” button.
Clicking the button opens a project setup form.
The form should include all required fields and toggles as per specifications.</t>
  </si>
  <si>
    <t>Input project details</t>
  </si>
  <si>
    <t>As a user, I want to input required project details so that the system can create the project correctly.</t>
  </si>
  <si>
    <t>Input required project details: 
-Toggle for what analyses is required (HC, Non-HC, Real Estate); toggle for currency conversion and select currency to convert to
-All fields below are needed unless otherwise specified, if (required for spendcube) only needed if non-hc analysis is toggled and if (required for census) only needed if HC analysis is toggled, etc.
-Project name
-Project description
-Buyer Name
-Buyer is public/private
-Target Name
-Target is public/private
- Buyer / Target Toggle (Dropdown: Target Only, Both)
-Sectors &amp; Sub-sectors for both buyer and target (possible pull from CapIQ and user validation and manual input optionality, if company is found in CapIQ it will be auto and if not it will be manual)
- Buyer and Target Financials - Revenue, COGS, SG&amp;A (Possible pull from CapIQ and user validation and manual input optionality, if company is found in CapIQ it will be auto and if not it will be manual)
-Buyer and Target region of operations each (global, regional, USAC, LATAM, APAC, EMEA) (required for census)
-No. of FTEs for Buyer and Target each (required for census)
-Existing shared services presence (required for census)
- Deal Type (Merger Of Equals, Tuck-in/Acquisiton): auto populated based on question set listed below
- BU (required for spendcube)
- Type of spend (required for SpendCube)
- Peers (required for SpendCube)
- Min revenue (required for SpendCube)
- Max revenue (required for SpendCube)
- Legal hold
- Engagement partner
- CIC clause confirmations</t>
  </si>
  <si>
    <r>
      <rPr>
        <b/>
        <sz val="11"/>
        <color rgb="FF000000"/>
        <rFont val="Aptos Narrow"/>
        <scheme val="minor"/>
      </rPr>
      <t xml:space="preserve">The form should include:
</t>
    </r>
    <r>
      <rPr>
        <sz val="11"/>
        <color rgb="FF000000"/>
        <rFont val="Aptos Narrow"/>
        <scheme val="minor"/>
      </rPr>
      <t xml:space="preserve">Project name (mandatory)
Project description
Buyer Name
Buyer is public/private (toggle)
Target Name
Target is public/private (toggle)
Buyer/Target Toggle (Dropdown: Target Only, Both)
Sectors &amp; Sub-sectors for buyer and target:
Auto-pull from CapIQ if available
Allow manual input if not found
</t>
    </r>
    <r>
      <rPr>
        <b/>
        <sz val="11"/>
        <color rgb="FF000000"/>
        <rFont val="Aptos Narrow"/>
        <scheme val="minor"/>
      </rPr>
      <t xml:space="preserve">Financials (Revenue, COGS, SG&amp;A):
</t>
    </r>
    <r>
      <rPr>
        <sz val="11"/>
        <color rgb="FF000000"/>
        <rFont val="Aptos Narrow"/>
        <scheme val="minor"/>
      </rPr>
      <t xml:space="preserve">Auto-pull from CapIQ if available
Allow manual input if not found
</t>
    </r>
    <r>
      <rPr>
        <b/>
        <sz val="11"/>
        <color rgb="FF000000"/>
        <rFont val="Aptos Narrow"/>
        <scheme val="minor"/>
      </rPr>
      <t xml:space="preserve">Region of operations for buyer and target </t>
    </r>
    <r>
      <rPr>
        <sz val="11"/>
        <color rgb="FF000000"/>
        <rFont val="Aptos Narrow"/>
        <scheme val="minor"/>
      </rPr>
      <t xml:space="preserve">(Global, Regional, USAC, LATAM, APAC, EMEA)
No. of FTEs for buyer and target (required for census)
Existing shared services presence (required for census)
</t>
    </r>
    <r>
      <rPr>
        <b/>
        <sz val="11"/>
        <color rgb="FF000000"/>
        <rFont val="Aptos Narrow"/>
        <scheme val="minor"/>
      </rPr>
      <t>Deal Type</t>
    </r>
    <r>
      <rPr>
        <sz val="11"/>
        <color rgb="FF000000"/>
        <rFont val="Aptos Narrow"/>
        <scheme val="minor"/>
      </rPr>
      <t xml:space="preserve"> (Merger of Equals or Tuck-in/Acquisition):
Auto-calculated based on logic
</t>
    </r>
    <r>
      <rPr>
        <b/>
        <sz val="11"/>
        <color rgb="FF000000"/>
        <rFont val="Aptos Narrow"/>
        <scheme val="minor"/>
      </rPr>
      <t xml:space="preserve">BU, Type of Spend, Peers, Min/Max Revenue </t>
    </r>
    <r>
      <rPr>
        <sz val="11"/>
        <color rgb="FF000000"/>
        <rFont val="Aptos Narrow"/>
        <scheme val="minor"/>
      </rPr>
      <t xml:space="preserve">(required for SpendCube)
Legal hold
Engagement partner
CIC clause confirmations
</t>
    </r>
    <r>
      <rPr>
        <b/>
        <sz val="11"/>
        <color rgb="FF000000"/>
        <rFont val="Aptos Narrow"/>
        <scheme val="minor"/>
      </rPr>
      <t xml:space="preserve">Conditional logic:
</t>
    </r>
    <r>
      <rPr>
        <sz val="11"/>
        <color rgb="FF000000"/>
        <rFont val="Aptos Narrow"/>
        <scheme val="minor"/>
      </rPr>
      <t xml:space="preserve">Fields marked “required for SpendCube” only appear if Non-HC analysis is toggled.
Fields marked “required for Census” only appear if HC analysis is toggled.
</t>
    </r>
    <r>
      <rPr>
        <b/>
        <sz val="11"/>
        <color rgb="FF000000"/>
        <rFont val="Aptos Narrow"/>
        <scheme val="minor"/>
      </rPr>
      <t xml:space="preserve">Toggles for analyses:
</t>
    </r>
    <r>
      <rPr>
        <sz val="11"/>
        <color rgb="FF000000"/>
        <rFont val="Aptos Narrow"/>
        <scheme val="minor"/>
      </rPr>
      <t xml:space="preserve">HC, Non-HC, Real Estate
</t>
    </r>
    <r>
      <rPr>
        <b/>
        <sz val="11"/>
        <color rgb="FF000000"/>
        <rFont val="Aptos Narrow"/>
        <scheme val="minor"/>
      </rPr>
      <t xml:space="preserve">Currency conversion toggle:
</t>
    </r>
    <r>
      <rPr>
        <sz val="11"/>
        <color rgb="FF000000"/>
        <rFont val="Aptos Narrow"/>
        <scheme val="minor"/>
      </rPr>
      <t xml:space="preserve">If enabled, allow selection of target currency.
</t>
    </r>
  </si>
  <si>
    <t>Auto-Determine Deal type</t>
  </si>
  <si>
    <t>As a user, I want the system to automatically determine the deal type based on revenue and sector so that classification is accurate.</t>
  </si>
  <si>
    <t>-Logic for merger of equal vs. tuck-in/acquisition: if target is 75% of revenue or higher of the buyer and is the same sector, then merger of equals is selected, in any other case it will be tuck-in/acquisition. This will be answered through question set:
-Is target 75% of revenue or higher of the buyer? If yes, next question, if no, then deal is tuck-in/acquisition
-Is the target in the same sector as the buyer?</t>
  </si>
  <si>
    <r>
      <rPr>
        <b/>
        <sz val="11"/>
        <color rgb="FF000000"/>
        <rFont val="Aptos Narrow"/>
        <scheme val="minor"/>
      </rPr>
      <t xml:space="preserve">Logic:
</t>
    </r>
    <r>
      <rPr>
        <sz val="11"/>
        <color rgb="FF000000"/>
        <rFont val="Aptos Narrow"/>
        <scheme val="minor"/>
      </rPr>
      <t xml:space="preserve">If target revenue ≥ 75% of buyer revenue AND same sector → Merger of Equals
Else → Tuck-in/Acquisition
</t>
    </r>
    <r>
      <rPr>
        <b/>
        <sz val="11"/>
        <color rgb="FF000000"/>
        <rFont val="Aptos Narrow"/>
        <scheme val="minor"/>
      </rPr>
      <t xml:space="preserve">Question set:
</t>
    </r>
    <r>
      <rPr>
        <sz val="11"/>
        <color rgb="FF000000"/>
        <rFont val="Aptos Narrow"/>
        <scheme val="minor"/>
      </rPr>
      <t>“Is target 75% of revenue or higher of the buyer?”
“Is the target in the same sector as the buyer?”
Deal type auto-populates based on answers.</t>
    </r>
  </si>
  <si>
    <t>Confirm and launch</t>
  </si>
  <si>
    <t>Enables project owner to view all details and confirm</t>
  </si>
  <si>
    <t>As a project owner. I want to view all entered project details and confirm them so that I can assure accuracy before proceeding</t>
  </si>
  <si>
    <t>Summary Screen: Shows all entered details, required next steps (files that are required dependent on what analyses the user selects (HC, non-HC, and RE) for HC it is Census data, for Spend it is PO data, and for Real Estate it is facility logs and these will all be excel files), and data upload prompts</t>
  </si>
  <si>
    <r>
      <rPr>
        <b/>
        <sz val="11"/>
        <color rgb="FF000000"/>
        <rFont val="Aptos Narrow"/>
        <scheme val="minor"/>
      </rPr>
      <t xml:space="preserve">Details Display:
</t>
    </r>
    <r>
      <rPr>
        <sz val="11"/>
        <color rgb="FF000000"/>
        <rFont val="Aptos Narrow"/>
        <scheme val="minor"/>
      </rPr>
      <t xml:space="preserve">All previously entered project details (including toggles, dropdowns, and auto-populated fields) should be displayed in a structured summary view.
The summary should be read-only, except for an option to go back and edit.
</t>
    </r>
    <r>
      <rPr>
        <b/>
        <sz val="11"/>
        <color rgb="FF000000"/>
        <rFont val="Aptos Narrow"/>
        <scheme val="minor"/>
      </rPr>
      <t xml:space="preserve">Action Buttons:
</t>
    </r>
    <r>
      <rPr>
        <i/>
        <sz val="11"/>
        <color rgb="FF000000"/>
        <rFont val="Aptos Narrow"/>
        <scheme val="minor"/>
      </rPr>
      <t xml:space="preserve">Save &amp; Continue:
</t>
    </r>
    <r>
      <rPr>
        <sz val="11"/>
        <color rgb="FF000000"/>
        <rFont val="Aptos Narrow"/>
        <scheme val="minor"/>
      </rPr>
      <t xml:space="preserve">Saves all details and moves to the next step in the workflow.
Displays a success message: “Project details saved successfully.”
</t>
    </r>
    <r>
      <rPr>
        <i/>
        <sz val="11"/>
        <color rgb="FF000000"/>
        <rFont val="Aptos Narrow"/>
        <scheme val="minor"/>
      </rPr>
      <t xml:space="preserve">Save as Draft:
</t>
    </r>
    <r>
      <rPr>
        <sz val="11"/>
        <color rgb="FF000000"/>
        <rFont val="Aptos Narrow"/>
        <scheme val="minor"/>
      </rPr>
      <t xml:space="preserve">Saves the current state without moving forward.
Displays a message: “Project saved as draft.”
Draft should be retrievable later from the dashboard.
</t>
    </r>
    <r>
      <rPr>
        <i/>
        <sz val="11"/>
        <color rgb="FF000000"/>
        <rFont val="Aptos Narrow"/>
        <scheme val="minor"/>
      </rPr>
      <t xml:space="preserve">Cancel:
</t>
    </r>
    <r>
      <rPr>
        <sz val="11"/>
        <color rgb="FF000000"/>
        <rFont val="Aptos Narrow"/>
        <scheme val="minor"/>
      </rPr>
      <t xml:space="preserve">Cancels the operation and returns to the previous screen or dashboard.
Displays a confirmation dialog: “Are you sure you want to cancel? Unsaved changes will be lost.”
</t>
    </r>
    <r>
      <rPr>
        <b/>
        <sz val="11"/>
        <color rgb="FF000000"/>
        <rFont val="Aptos Narrow"/>
        <scheme val="minor"/>
      </rPr>
      <t xml:space="preserve">Validation:
</t>
    </r>
    <r>
      <rPr>
        <sz val="11"/>
        <color rgb="FF000000"/>
        <rFont val="Aptos Narrow"/>
        <scheme val="minor"/>
      </rPr>
      <t xml:space="preserve">If mandatory fields are missing, Save &amp; Continue should be disabled.
Save as Draft should allow saving even if mandatory fields are incomplete.
</t>
    </r>
    <r>
      <rPr>
        <b/>
        <sz val="11"/>
        <color rgb="FF000000"/>
        <rFont val="Aptos Narrow"/>
        <scheme val="minor"/>
      </rPr>
      <t xml:space="preserve">Confirmation:
</t>
    </r>
    <r>
      <rPr>
        <sz val="11"/>
        <color rgb="FF000000"/>
        <rFont val="Aptos Narrow"/>
        <scheme val="minor"/>
      </rPr>
      <t>After clicking Save &amp; Continue, the system should:
Validate all inputs.
Lock the project details for further processing.</t>
    </r>
  </si>
  <si>
    <t>Confirm and Launch</t>
  </si>
  <si>
    <t>Action Buttons: Save &amp; continue, save as Draft, cancel</t>
  </si>
  <si>
    <t>As a user, i want to have option save &amp; Continue, save as Draft and cancel the project creation</t>
  </si>
  <si>
    <t>The UI should have action buttons for save and continue, save as draft and cancel</t>
  </si>
  <si>
    <t>Session Navigation</t>
  </si>
  <si>
    <t>Navigation Menu</t>
  </si>
  <si>
    <t>As a user, I want a navigation menu that lists HC Analysis, Spend Analysis, and Real Estate Analysis so that I can quickly access each section.</t>
  </si>
  <si>
    <t>Ability to navigate to sections for HC analysis and Spend analysis</t>
  </si>
  <si>
    <t>A navigation panel or tabs should be available on the UI.
Sections listed:
HC Analysis
Spend Analysis
Real Estate Analysis
Clicking on a section should:
Load the corresponding page or panel.
Preserve previously entered data when switching between sections.
Highlight the active section visually (e.g., bold text or color change).</t>
  </si>
  <si>
    <t>Conditional Visibility</t>
  </si>
  <si>
    <t>As a user, I want sections to appear only if the corresponding analysis toggle is enabled so that the interface remains clean and relevant.</t>
  </si>
  <si>
    <t>Ability to navigate to sections for HC analysis, Spend analysis, and Real Estate Analysis</t>
  </si>
  <si>
    <t>If HC Analysis toggle is ON → HC Analysis section is visible.
If Non-HC Analysis toggle is ON → Spend Analysis section is visible.
If Real Estate Analysis toggle is ON → Real Estate Analysis section is visible.
If toggles are OFF → Sections remain hidden.</t>
  </si>
  <si>
    <t>Section Content</t>
  </si>
  <si>
    <t>As a user, I want each section to display relevant fields and instructions so that I can complete the required inputs for that analysis.</t>
  </si>
  <si>
    <r>
      <rPr>
        <sz val="11"/>
        <color rgb="FF000000"/>
        <rFont val="Aptos Narrow"/>
        <scheme val="minor"/>
      </rPr>
      <t xml:space="preserve">Each analysis section (HC Analysis, Spend Analysis, Real Estate Analysis) should present </t>
    </r>
    <r>
      <rPr>
        <b/>
        <sz val="11"/>
        <color rgb="FF000000"/>
        <rFont val="Aptos Narrow"/>
        <scheme val="minor"/>
      </rPr>
      <t>only the relevant fields and instructions</t>
    </r>
    <r>
      <rPr>
        <sz val="11"/>
        <color rgb="FF000000"/>
        <rFont val="Aptos Narrow"/>
        <scheme val="minor"/>
      </rPr>
      <t xml:space="preserve"> based on the selected analysis type. This ensures that users can easily understand what data is required and complete inputs without confusion.</t>
    </r>
  </si>
  <si>
    <t xml:space="preserve">HC Analysis section:
Fields for census-related data (FTEs, shared services, region).
Spend Analysis section:
Fields for SpendCube (BU, type of spend, peers, min/max revenue).
Each section should have:
Clear instructions.
Validation for mandatory fields.
Status indicators for completion.
</t>
  </si>
  <si>
    <t>Provide Navigation Links</t>
  </si>
  <si>
    <t>As a user, I want navigation links for Census Analysis, Spend Analysis, and Real Estate Analysis so that I can access each section easily.</t>
  </si>
  <si>
    <t>The system ensures that users cannot proceed without uploading mandatory files based on selected analyses. When a required file is missing, the tool displays a clear, actionable error message indicating the specific file name and provides a direct link to download a sample template. This prevents confusion and ensures compliance with data requirements. Users are given two options: upload the missing file or override the error with a confirmation warning, allowing flexibility while maintaining transparency about potential impacts on analysis accuracy.</t>
  </si>
  <si>
    <t>Navigation links should be displayed in the following order:
Tab 2a: Census Analysis
Tab 2b: Spend Analysis
Tab 2c: Real Estate Analysis (Out of scope for MVP)
Tab 3: Outputs
Links should be clickable and highlight the active tab.
Tabs should preserve previously entered data when switching.</t>
  </si>
  <si>
    <t>Conditional Navigation</t>
  </si>
  <si>
    <t>As a user, I want the system to skip tabs that are not applicable based on selected analyses so that I only see relevant sections.</t>
  </si>
  <si>
    <t>The system should dynamically control navigation between analysis tabs based on the user’s selected analyses during project setup. If an analysis type (HC, Non-HC, Real Estate) is not selected, its corresponding tab should be skipped automatically, ensuring the user only interacts with relevant sections. The navigation flow should maintain the predefined order (Census → Spend → Real Estate → Outputs) and allow seamless progression without unnecessary steps.</t>
  </si>
  <si>
    <t>If HC Analysis is toggled ON → Navigate to Tab 2a (Census Analysis).
If HC Analysis is toggled OFF → Skip Tab 2a and move to Tab 2b.
If Non-HC Analysis is toggled ON → Navigate to Tab 2b (Spend Analysis).
If Non-HC Analysis is toggled OFF → Skip Tab 2b and move to Tab 2c.
If Real Estate Analysis is toggled ON → Navigate to Tab 2c. (Out fo Scope for MVP)
If Real Estate Analysis is toggled OFF → Skip Tab 2c and move to Tab 3. (Out fo Scope for MVP)
After completing applicable tabs → Navigate to Tab 3 (Outputs).</t>
  </si>
  <si>
    <t>Data availability Check</t>
  </si>
  <si>
    <t>As a user, I want navigation to be enabled only if required data is available so that I don’t proceed with incomplete inputs.</t>
  </si>
  <si>
    <t>Navigation to be enabled only if all the required data are available. the too, will not proceed with incomplete data</t>
  </si>
  <si>
    <t>Before moving to the next tab:
Validate that mandatory fields for the current tab are completed OR user has chosen to override.
If data is missing:
Display message: “Please complete required fields or override to continue.”</t>
  </si>
  <si>
    <t>Sequential flow</t>
  </si>
  <si>
    <t>As a user, I want the navigation to follow a sequential flow so that I complete steps in the correct order.</t>
  </si>
  <si>
    <t>Navigation should happen sequentially and the user should complete the steps in correct order</t>
  </si>
  <si>
    <t>Default navigation order:
Tab 2a → Tab 2b → Tab 2c → Tab 3.
“Next” button should:
Move to the next applicable tab.
Skip tabs that are not applicable.
“Previous” button should:
Move to the previous tab (including skipped ones for review if needed).</t>
  </si>
  <si>
    <t>File upload and validation</t>
  </si>
  <si>
    <t>Census-HC and Spend Non HC</t>
  </si>
  <si>
    <t>prompt user to upload required file type</t>
  </si>
  <si>
    <t>As a user, I want to be prompted to upload each required file type based on the selected analyses so that I know what is needed.</t>
  </si>
  <si>
    <t>Users are prompted to upload each required file type, with clear instructions (any instructions relevant for spendcube and census, if applicable, and explain to user that all files must be in excel), sample templates, and status indicators (Uploaded, Missing, Needs Review).</t>
  </si>
  <si>
    <t xml:space="preserve">The system should :
  Display a list of required file types based on analysis
  Show clear instructions for each file type (including census and SpendCube specififc guidance)
  Indicate that all files must be in excel format
provide sample templates for each filetype for download
</t>
  </si>
  <si>
    <t>Census - HC (Original)</t>
  </si>
  <si>
    <t>Bulk Census Data Upload (Buyer and Target)  and Validation</t>
  </si>
  <si>
    <t>As a user, I want to upload my client’s census data (up to 500k rows) and receive \ validation feedback so that I can confirm the file is correctly formatted and ready for ingestion.</t>
  </si>
  <si>
    <t>- User uploads CSV/XLSX file through the UI
- System checks for required columns
- Validation message displays missing data and ability for user to manually map column headers
- If valid, data loads into SQL and is stored per retention/CIC policies</t>
  </si>
  <si>
    <t>- Upload accepts up to 500k rows
- Validation message identifies missing/invalid columns
- Successful uploads persist in SQL
- Retention and CIC rules applied</t>
  </si>
  <si>
    <t>Natalie Smith</t>
  </si>
  <si>
    <t>V1.0</t>
  </si>
  <si>
    <t>Ashely Costa</t>
  </si>
  <si>
    <t>Error handling</t>
  </si>
  <si>
    <t>As a user, I want clear error messages when required files are missing so that I know what action to take to proceed.</t>
  </si>
  <si>
    <t>Error Handling Example:
If a required file is missing, the tool displays:
“You must upload Census.xlsx before proceeding. Click here for a template.”</t>
  </si>
  <si>
    <t>Trigger Condition:
When the user attempts to proceed without uploading a required file (based on selected analyses), the system should display an error message.
Error Message Content:
Message format:
“You must upload [FileName].xlsx before proceeding. Click here for a template.”
[FileName] should dynamically reflect the missing file (e.g., Census.xlsx for HC analysis).
Actionable Guidance:
Include a clickable link to download the sample template for the missing file.
Provide instructions on file format (Excel only) and required fields.
Blocking Behavior:
The system should prevent navigation to the next step until the missing file is uploaded OR the user explicitly overrides.
Override Option:
Display a button: “Override &amp; Continue” with a warning:
“Proceeding without this file may impact analysis accuracy. Do you want to continue?”</t>
  </si>
  <si>
    <t>Status indicators</t>
  </si>
  <si>
    <t>As a user, I want to see the status of each file so that I can track progress and resolve issues</t>
  </si>
  <si>
    <t>User will be able to see the progress or status of the uploaded files</t>
  </si>
  <si>
    <r>
      <rPr>
        <sz val="11"/>
        <color rgb="FF000000"/>
        <rFont val="Aptos Narrow"/>
        <scheme val="minor"/>
      </rPr>
      <t xml:space="preserve">Each file should have a status indicator:
</t>
    </r>
    <r>
      <rPr>
        <b/>
        <sz val="11"/>
        <color rgb="FF000000"/>
        <rFont val="Aptos Narrow"/>
        <scheme val="minor"/>
      </rPr>
      <t xml:space="preserve">Uploaded: </t>
    </r>
    <r>
      <rPr>
        <sz val="11"/>
        <color rgb="FF000000"/>
        <rFont val="Aptos Narrow"/>
        <scheme val="minor"/>
      </rPr>
      <t xml:space="preserve">File successfully uploaded and validated.
</t>
    </r>
    <r>
      <rPr>
        <b/>
        <sz val="11"/>
        <color rgb="FF000000"/>
        <rFont val="Aptos Narrow"/>
        <scheme val="minor"/>
      </rPr>
      <t>Missing</t>
    </r>
    <r>
      <rPr>
        <sz val="11"/>
        <color rgb="FF000000"/>
        <rFont val="Aptos Narrow"/>
        <scheme val="minor"/>
      </rPr>
      <t xml:space="preserve">: File not uploaded (only if analysis is toggled).
</t>
    </r>
    <r>
      <rPr>
        <b/>
        <sz val="11"/>
        <color rgb="FF000000"/>
        <rFont val="Aptos Narrow"/>
        <scheme val="minor"/>
      </rPr>
      <t>Needs Review:</t>
    </r>
    <r>
      <rPr>
        <sz val="11"/>
        <color rgb="FF000000"/>
        <rFont val="Aptos Narrow"/>
        <scheme val="minor"/>
      </rPr>
      <t xml:space="preserve"> File uploaded but has missing fields in one or more rows.
Status should update dynamically after upload and validation.</t>
    </r>
  </si>
  <si>
    <t>Validation and Review</t>
  </si>
  <si>
    <t>As a user, I want the system to validate uploaded files and prompt me to fix issues so that data integrity is maintained.</t>
  </si>
  <si>
    <t>Users are prompted to upload each required file type, with clear instructions (any instructions relevant for spendcube and census, if applicable, and explain to user that all files must be in excel), sample templates, and status indicators (Uploaded, Missing, Needs Review). Files are only considered missing, if the analysis related to the file is toggled on. Needs review will be any instance in which there are fields missing for a row in the excel files. User is prompted to update the file but also has optionality to override and proceed with next steps without updating.</t>
  </si>
  <si>
    <t>Validation checks:
File format must be Excel (.xls or .xlsx).
Required columns must exist.
No empty mandatory fields in rows.
If validation fails:
Status changes to Needs Review.
Display message: “Some rows have missing fields. Please update the file or override to proceed.”
Provide option:
Update File (re-upload corrected file).
Override &amp; Continue (proceed without fixing, with warning).</t>
  </si>
  <si>
    <t>Override option</t>
  </si>
  <si>
    <t>As a user, I want the ability to override validation errors and proceed so that I can continue workflow even if data is incomplete.</t>
  </si>
  <si>
    <t>User is prompted to update the file but also has optionality to override and proceed with next steps without updating.</t>
  </si>
  <si>
    <t>Override button should:
Allow user to proceed to next step.
Display confirmation dialog: “Proceeding without fixing may impact analysis accuracy. Do you want to continue?”
Log override action for audit purposes.</t>
  </si>
  <si>
    <t>Census - HC (Updated for SynergEY.ai)</t>
  </si>
  <si>
    <t>Bulk Census Data Upload and Validation, Buyer and Target merged file</t>
  </si>
  <si>
    <t>As a user, I want to upload both the target and buyer census data (up to 500k rows) and receive \ validation feedback so that I can confirm the file is correctly formatted and ready for ingestion.</t>
  </si>
  <si>
    <t>- User uploads CSV/XLSX file through the UI
- System checks for required columns
- Validation message displays missing data and ability for user to manually map column headers
- If valid, data loads into SQL and is stored per retention/CIC policies
-Files will be merged across buyer and target with column for identifier of buyer/target
-File merging requires same column headers for both target and buyer files to be uploaded</t>
  </si>
  <si>
    <t>- Upload accepts up to 500k rows
- Validation message identifies missing/invalid columns
- Successful uploads persist in SQL
- Retention and CIC rules applied
- Tool produces merged file with identifier for buyer / target</t>
  </si>
  <si>
    <t>Logan Jeffs</t>
  </si>
  <si>
    <t>V1.5</t>
  </si>
  <si>
    <t>N/A</t>
  </si>
  <si>
    <t>Deal type based Census/Spend Handling</t>
  </si>
  <si>
    <t>Consolidate census/spend data for merger of equals</t>
  </si>
  <si>
    <t>As a user, I want the system to automatically consolidate census/Spend data for both buyer and target when the deal type is Merger of Equals so that I have a unified view for analysis.</t>
  </si>
  <si>
    <t>Conslidate census/Spend data of buyer and target for Merger of Equals scenario</t>
  </si>
  <si>
    <t>Trigger Condition:
Deal type is Merger of Equals (auto-determined based on revenue and sector logic).
Both buyer and target census data are available.
Consolidation Logic:
Combine FTE counts for buyer and target into a single total.
Merge regions of operation:
If both have the same region → keep one.
If different → list all unique regions.
Combine shared services presence:
If either has shared services → mark as “Yes”.
Aggregate other census-related fields (e.g., cost centers, organizational units).
Validation:
If any required census field is missing for buyer or target:
Display warning:
“Census data incomplete for consolidation. Please review or override.”
Allow override to proceed with partial data.
Output:
Display consolidated census summary in the Census Analysis tab.
Include:
Total FTE
Combined regions
Shared services presence
Mark source as “Consolidated for Merger of Equals”.
Audit:
Log consolidation action with timestamp and user ID.</t>
  </si>
  <si>
    <t>Skip Consolidation for Non-Merger of Equals</t>
  </si>
  <si>
    <t>As a user, I want the system to skip census consolidation when the deal type is not Merger of Equals so that unnecessary processing is avoided.</t>
  </si>
  <si>
    <t xml:space="preserve">If Merger of Equals is not seleted then this step will be skipped. If the type of deal is Tuck-in then the target census file will be considered for further analysis. </t>
  </si>
  <si>
    <t>If deal type ≠ Merger of Equals:
Do not merge buyer and target census data.
Display message:
“Census consolidation skipped as deal type is not Merger of Equals.”
Proceed to next applicable step without error.</t>
  </si>
  <si>
    <t>As a user, I want the system to consider only the target census file for analysis when the deal type is Tuck-in/Acquisition so that the analysis focuses on the acquired entity.</t>
  </si>
  <si>
    <t>If deal type = Tuck-in/Acquisition:
Use target census file for all HC-related analysis.
Ignore buyer census data for calculations.
Display confirmation in UI:
“Target census data will be used for analysis as deal type is Tuck-in/Acquisition.”</t>
  </si>
  <si>
    <t>Validation</t>
  </si>
  <si>
    <t>As a user, I want the system to validate that the required census file is available for the selected deal type so that analysis does not fail unexpectedly.</t>
  </si>
  <si>
    <t>If Merger of Equals is not seleted then this step will be skipped. If the type of deal is Tuck-in then the target census file will be considered for further analysis.</t>
  </si>
  <si>
    <t>If deal type = Merger of Equals:
Validate both buyer and target census/Spend files.
If deal type = Tuck-in/Acquisition:
Validate target census/Spend file only.
If required file is missing:
Display error:
“You must upload [FileName].xlsx before proceeding. Click here for a template.”
Provide override option with warning.</t>
  </si>
  <si>
    <t>Tag buyer and target census/spend appropriately</t>
  </si>
  <si>
    <t>As a user, I want the system to tag census data for Buyer and Target so that I can clearly distinguish between the two in consolidated or individual analysis.</t>
  </si>
  <si>
    <t>Tag Buyer and Target Census appropriately; add extra column to tag target and buyer based on naming convention of file</t>
  </si>
  <si>
    <t>Tagging Logic:
When census files are uploaded:
Add an extra column named EntityType (or similar).
Populate with:
Buyer for rows from Buyer census file.
Target for rows from Target census file.
Tagging should be based on the file naming convention:
If filename contains “Buyer” → tag as Buyer.
If filename contains “Target” → tag as Target.
Validation:
If file naming convention does not match expected pattern:
Display warning:
“Unable to determine entity type from file name. Please confirm tags manually.”
Allow user to override or manually edit tags.
Output:
Tagged data should be visible in:
Census Analysis tab.
Consolidated view (for Merger of Equals).
Exported files should retain the EntityType column.
Audit:
Log tagging process with timestamp and user ID.</t>
  </si>
  <si>
    <t>Client-Specific Functional Taxonomy Recognition</t>
  </si>
  <si>
    <t>As a user, I want the system to automatically detect and infer client-specific functional taxonomies so that it can map againsts the EY-taxonomy</t>
  </si>
  <si>
    <t>- Tool analyzes uploaded data to infer taxonomy (Department, Function, Sub-function)
- Final taxonomy stored and linked to dataset</t>
  </si>
  <si>
    <t>- System auto-detects client taxonomy
- Confirmed taxonomy stored and tied to dataset for analyses</t>
  </si>
  <si>
    <t>Nick Longman</t>
  </si>
  <si>
    <t>Unique Identifier Generation</t>
  </si>
  <si>
    <t>As a user, I want the system to ensure every employee record has a unique identifier so that data can be accurately tracked and joined across analyses.</t>
  </si>
  <si>
    <t>- Tool checks for Unique ID column
- If missing/duplicates, tool regenerates IDs for entire dataset
- Regenerated IDs stored and used across analyses</t>
  </si>
  <si>
    <t>- Tool verifies Unique ID presence
- Duplicates trigger regeneration
- IDs remain stable across backend</t>
  </si>
  <si>
    <t>Data Normalization Across Client and EY Taxonomies</t>
  </si>
  <si>
    <t>As a user, I want to normalize client data so that it aligns with the EY taxonomy and supports accurate downstream analysis.</t>
  </si>
  <si>
    <t>- Clean and normalize key columns (i.e., Function, Sub-function, Job Title, and Location)
- Align naming conventions to EY standards
- Store normalized dataset linked to original</t>
  </si>
  <si>
    <t>- Standardized fields align to EY naming
- Job Titles flagged correctly
- Locations normalized
- Normalized data linked to source</t>
  </si>
  <si>
    <t>Normalize client business unit taxonomy, client function and subfunction assignment to EY L1 and L2 processes (Cost Center defined assignment);  job titles assignment; GBS v. Corporate (if applicable);
Normalize location to defined high cost / low cost &amp; region classification</t>
  </si>
  <si>
    <t>Currency Conversion</t>
  </si>
  <si>
    <t>As a user, I want to select a denomination to enable currency conversion for financial data so the resulting analyses are all in the same currency</t>
  </si>
  <si>
    <t>-Tool must allow toggle for currency conversion as well as selection of denomination to convert to
-Calculate fully loaded cost in selected denomination by leveraging API for conversion rate and multiplying by the current cost</t>
  </si>
  <si>
    <t>-User can select toggle for currency converseion and select a denomination
-Outputs reflect standardized currency even when inputs have different currencies</t>
  </si>
  <si>
    <t>Employee-to-Taxonomy Mapping</t>
  </si>
  <si>
    <t>As a user, I want the tool to map each employee to the EY taxonomy so that I can analyze data using consistent EY functional categories.</t>
  </si>
  <si>
    <t>- Map each employee using normalized data (Function, Sub-function, Process)
- Achieve &gt;80% mapping accuracy using LLM logic
- Display mapping confidence and rationale
- Allow manual review and overrides</t>
  </si>
  <si>
    <t>- Mapping accuracy &gt;80%
- Confidence rationale visible
- Manual edits allowed
- Final mappings stored</t>
  </si>
  <si>
    <t>Map individuals to processes, outcomes &amp; assumptions;
Identify and map shadow organizations roles by function</t>
  </si>
  <si>
    <t>LLM Mapping Explanation (AI Decision Transparency)</t>
  </si>
  <si>
    <t>As a user, I want to view how the LLM arrived at its mapping decisions so that I can understand reasoning and agent disagreement.</t>
  </si>
  <si>
    <t>- After mapping, tool exports Excel with confidence, rationale, and alternate mapping columns
- Each cell outlines logic and alternatives
- User reviews and adjusts mappings manually
- Reupload applies updates</t>
  </si>
  <si>
    <t>- Export includes LLM rationale columns
- Text explains mapping logic and alternatives
- User can edit and reupload
- Updated file validated on upload</t>
  </si>
  <si>
    <t>User Validation of Mapped Data (Controlled Adjustment)</t>
  </si>
  <si>
    <t>As a user, I want to review and validate mapped data so that I can make controlled corrections while maintaining data consistency.</t>
  </si>
  <si>
    <t>- User downloads mapped Excel file
- Editable dropdowns for L1 (Function), L2 (Sub-function), L3 (Process)
- Dropdowns restricted to EY-validated taxonomy
- Reupload applies changes and retrains LLM</t>
  </si>
  <si>
    <t>- Editable L1–L3 dropdowns tied to EY taxonomy
- Only pre-approved values allowed
- Reupload updates backend
- Edits inform future LLM accuracy</t>
  </si>
  <si>
    <t>Lever Selection and Sequencing</t>
  </si>
  <si>
    <t>As a user, I want to toggle which opportunity levers are applied so that I can preview and export headcount and cost impacts.</t>
  </si>
  <si>
    <t>- User selects levers (Stop, Centralize, Outsource, Shift, Automate)
- Tool executes sequentially
- Toggled-off levers skipped
- Preview and Excel show results</t>
  </si>
  <si>
    <t>- Toggle controls for all levers
- Sequential execution respected
- Recalculation requires confirmation
- Results consistent across outputs</t>
  </si>
  <si>
    <t>Ashley Costa</t>
  </si>
  <si>
    <t>Take user input and configure which lever based process flows will be "allowed" to impact head count</t>
  </si>
  <si>
    <t>Stop Lever Calculation</t>
  </si>
  <si>
    <t>As a user, I want to calculate potential synergies from stopping select processes to estimate FTE and cost reduction.</t>
  </si>
  <si>
    <t>- Tool identifies redundant/non-value work
- Calculates FTEs above benchmarks
- Applies FTE × fully loaded cost
- Passes remaining headcount to next lever</t>
  </si>
  <si>
    <t>- Excess FTEs identified
- Savings calculated
- Results feed next lever
- Output visible in preview and Excel</t>
  </si>
  <si>
    <t>1.Calculate shadow org assignments and post-reassignment headcount  based on census input;
2.Calculate impacted and remaining headcount based on applied lever via APQC benchmarks;
3.Calculate cost savings opportunities based on applied levers;</t>
  </si>
  <si>
    <t>Centralize Lever Calculation</t>
  </si>
  <si>
    <t>As a user, I want to calculate potential synergies from centralizing processes to estimate savings from consolidation.</t>
  </si>
  <si>
    <t>- Evaluate remaining headcount after Stop
- Identify functions to centralize
- Calculate savings (FTE × cost)
- Pass to Outsource lever</t>
  </si>
  <si>
    <t>- Centralization logic applied
- FTE/cost savings calculated
- Headcount updated for next lever
- Consistent preview/Excel outputs</t>
  </si>
  <si>
    <t>1.Calculate the headcount impacted by the centralize lever, and the remaining headcount post Stop &amp; Centralize levers;
2.Calculate cost savings opportunities based on applied levers</t>
  </si>
  <si>
    <t>Outsource Lever Calculation</t>
  </si>
  <si>
    <t>As a user, I want to calculate potential synergies from outsourcing processes to estimate cost savings.</t>
  </si>
  <si>
    <t>- Evaluate remaining headcount post Stop/Centralize
- Identify L2s for outsourcing
- Calculate savings (FTE × cost)
- Pass to Shift lever</t>
  </si>
  <si>
    <t>- Outsourcing logic applied
- Savings calculated
- Results flow to next lever
- Visible in UI and Excel</t>
  </si>
  <si>
    <t xml:space="preserve">1.Calculate impacted headcount and cost savings opportunities based on applied lever </t>
  </si>
  <si>
    <t>Shift Lever Calculation</t>
  </si>
  <si>
    <t>As a user, I want to calculate synergies from shifting work from high- to low-cost areas to measure efficiency gains.</t>
  </si>
  <si>
    <t>- Evaluate post Stop/Centralize/Outsource data
- Identify high/low cost regions
- Calculate FTE shifts and savings
- Pass to Automate lever</t>
  </si>
  <si>
    <t>- Cost regions correctly identified
- Shift savings calculated
- Updated headcount passed on
- Outputs reflect cost differentials</t>
  </si>
  <si>
    <t xml:space="preserve">1. Calculate the ratio of high cost to low cost employees, and carry said ratio to the post stop/centralize headcount;
2. Calculate the headcount impacted by shift lever;
3.Calculate future headcount, and break it up into high and low cost headcount subsets ;
4. Calculate cost savings opportunities based on applied lever
</t>
  </si>
  <si>
    <t>Automate Lever Calculation</t>
  </si>
  <si>
    <t>As a user, I want to calculate synergies from automating processes to estimate headcount and cost savings.</t>
  </si>
  <si>
    <t>- Evaluate post-Shift data
- Identify processes eligible for automation
- Apply FTE × cost logic
- Generate final totals</t>
  </si>
  <si>
    <t>- Automation logic applied
- FTE/cost savings calculated
- Totals across levers combined
- Results exported</t>
  </si>
  <si>
    <t>1. Calculate impacted headcount and post automate headcount based on applied lever;
2. Calculate cost savings opportunities based on automation lever</t>
  </si>
  <si>
    <t>Cleansed Excel Export with Embedded Formulas</t>
  </si>
  <si>
    <t>As a user, I want to export final mapped and lever-applied census data to Excel for transparent review.</t>
  </si>
  <si>
    <t>- After running Diligence Calculator, preview appears
- User exports full dataset with embedded formulas
- Excel includes summaries by lever and function</t>
  </si>
  <si>
    <t>- Export includes complete dataset
- Embedded formulas visible
- Summary tabs included
- UI preview matches Excel results</t>
  </si>
  <si>
    <t>Configurable Lever Sequence (L2 Process-Specific Option)</t>
  </si>
  <si>
    <t>As a user, I want to select between two predefined lever sequences so that analysis order aligns with client needs.</t>
  </si>
  <si>
    <t>- Default: Stop → Centralize → Outsource → Shift → Automate
- Optional: Stop → Centralize → Shift → Automate → Outsource
- User selects in UI before running analysis</t>
  </si>
  <si>
    <t>- Two selectable sequences available
- Sequence applied globally
- Calculations respect order
- Excel reflects sequence</t>
  </si>
  <si>
    <t>Preeti Pandab</t>
  </si>
  <si>
    <t>Sector and Subsector-Specific EY Taxonomy Linking</t>
  </si>
  <si>
    <t>As a user, I want the EY taxonomy to automatically tailor to client sector/subsector for accurate mapping.</t>
  </si>
  <si>
    <t>- During setup, user selects sector/subsector
- Tool retrieves corresponding taxonomy
- Changes trigger automatic remapping</t>
  </si>
  <si>
    <t>- Sector/subsector required
- Dynamic taxonomy retrieval
- Mapping limited to subsector taxonomy
- Remapping on subsector change</t>
  </si>
  <si>
    <t>Editable Lever Assumptions</t>
  </si>
  <si>
    <t>As a user, I want to update lever assumptions for processes so I can tailor analysis without changing taxonomy.</t>
  </si>
  <si>
    <t>- Dedicated Lever Assumptions screen and Excel tab
- Users edit default % assumptions (e.g., outsourced, automated)
- UI requires Recalculate click
- Excel auto-updates via embedded formulas</t>
  </si>
  <si>
    <t>- Editable assumption fields available
- Recalculate required in UI
- Excel updates automatically
- Adjusted assumptions persist through exports</t>
  </si>
  <si>
    <t>Not started</t>
  </si>
  <si>
    <t>Rerun Diligence Calculator (Lever Re-evaluation)</t>
  </si>
  <si>
    <t>As a user, I want to reselect levers and rerun the Diligence Calculator without restarting mapping.</t>
  </si>
  <si>
    <t>- User reopens project and adjusts levers
- System retains mapping and taxonomy
- Recalculation overwrites prior results unless new analysis created</t>
  </si>
  <si>
    <t>- User can rerun calculator within same project
- Updated lever outputs replace prior results
- Mapping preserved
- Exports updated immediately</t>
  </si>
  <si>
    <t>L2-Level Lever Toggle</t>
  </si>
  <si>
    <t>As a user, I want to enable/disable specific levers at the L2 level to exclude non-applicable processes.</t>
  </si>
  <si>
    <t>- Toggle levers (Stop, Centralize, Outsource, Shift, Automate) per L2
- Skipped levers omitted from calculations
- Changes applied consistently across L2s in function</t>
  </si>
  <si>
    <t>- L2-level toggles available
- Deactivated levers skipped
- Active levers apply sequentially
- Results consistent across outputs</t>
  </si>
  <si>
    <t>Customizable Taxonomies (Download, Modify, and Re-Upload)</t>
  </si>
  <si>
    <t>As a user, I want to download, customize, and re-upload a subsector taxonomy so my analysis reflects client nuances.</t>
  </si>
  <si>
    <t>- User downloads standard subsector taxonomy
- Customizes taxonomy (cross-sector or unique)
- Reuploads during project setup
- Tool validates and merges with EY structure</t>
  </si>
  <si>
    <t>- Download available from library
- Upload validated
- Custom taxonomy replaces standard
- Compatible with project mapping</t>
  </si>
  <si>
    <t>Ashley Harker</t>
  </si>
  <si>
    <t>Pending</t>
  </si>
  <si>
    <t>Data Ingestion &amp; Preprocessing</t>
  </si>
  <si>
    <t>SpendCube - Non-HC (Original)</t>
  </si>
  <si>
    <t>Data Processing</t>
  </si>
  <si>
    <t>As a user, I would like to sanitize data and identify key fields</t>
  </si>
  <si>
    <t>1. Ability to sanitize and identify key fields in both spend and contracts data;
2. Ability to choose whether include or exclude blank or anomaly data;
3. Unit of measure normalization</t>
  </si>
  <si>
    <t>All fields are completed; standardized unit of measure; confidence level greater than 80%</t>
  </si>
  <si>
    <t>Completed</t>
  </si>
  <si>
    <t>Aj Prabhu</t>
  </si>
  <si>
    <t>V2.0</t>
  </si>
  <si>
    <t>Sameer Anand</t>
  </si>
  <si>
    <t>Missing data in headers/first lines not allowed.</t>
  </si>
  <si>
    <t>Define Taxonomy</t>
  </si>
  <si>
    <t>As a user, I would like to either build a taxonomy based on the input or allow client to upload their own taxonomy</t>
  </si>
  <si>
    <t>1. Develop a taxonomy that categorizes spend data into meaningful groups (e.g., categories, subcategories);
2. Ensure the taxonomy aligns with industry standards and business needs (scissor – can be surgical supplies or office supplies);
3. Provide an option to upload client taxonomy if available</t>
  </si>
  <si>
    <t>Categorize data based on taxonomy developed with 80% confidence; upload and store client taxonomy</t>
  </si>
  <si>
    <t>Insights &amp; Reporting</t>
  </si>
  <si>
    <t>Report Generation - Insights</t>
  </si>
  <si>
    <t>As a user, I would like to generate insights based on the analysis</t>
  </si>
  <si>
    <t>Provision to generate spend insights and peer insights</t>
  </si>
  <si>
    <t>Insights generated with 100% accuracy</t>
  </si>
  <si>
    <t>These are being developed in V3 - standard templates which we gave them</t>
  </si>
  <si>
    <t>Report Generation</t>
  </si>
  <si>
    <r>
      <rPr>
        <b/>
        <sz val="11"/>
        <rFont val="Aptos Narrow"/>
        <family val="2"/>
        <scheme val="minor"/>
      </rPr>
      <t>9/22:</t>
    </r>
    <r>
      <rPr>
        <sz val="11"/>
        <rFont val="Aptos Narrow"/>
        <family val="2"/>
        <scheme val="minor"/>
      </rPr>
      <t xml:space="preserve"> Confirmed with team this is included in flow.</t>
    </r>
  </si>
  <si>
    <t>Spend Categorization</t>
  </si>
  <si>
    <t>As a user, I would like to categorize spend based on the taxonomy created or uploaded</t>
  </si>
  <si>
    <t>1. Analyze item descriptions and assign them to appropriate categories;
2. Ensure consistency and accuracy in categorization;
3. If a taxonomy is uploaded, utilize the uploaded taxonomy only to assign category</t>
  </si>
  <si>
    <t>All items categorized with 60% confidence level</t>
  </si>
  <si>
    <t>Completed, with UAT feedback in V2 on accuracy improvement</t>
  </si>
  <si>
    <t>Supplier Normalization</t>
  </si>
  <si>
    <t>As a user, I would like to standardize supplier names</t>
  </si>
  <si>
    <t>Conduct supplier name normalization based on word-based grouping instead of alphabet-based grouping; harmonize vendor names and map vendors to parent companies</t>
  </si>
  <si>
    <t>Confidence level greater than 60%; prevention of jailbreak is implemented</t>
  </si>
  <si>
    <t>Data Ingestion</t>
  </si>
  <si>
    <t>As a user, I want to upload client spend and contract analysis data so that it can be processed in the tool</t>
  </si>
  <si>
    <r>
      <t>- Tool must support upload of client spend files, as well as Kira a</t>
    </r>
    <r>
      <rPr>
        <sz val="11"/>
        <rFont val="Aptos Narrow"/>
        <family val="2"/>
        <scheme val="minor"/>
      </rPr>
      <t>nd/or eBrevia</t>
    </r>
    <r>
      <rPr>
        <sz val="11"/>
        <color theme="1"/>
        <rFont val="Aptos Narrow"/>
        <family val="2"/>
        <scheme val="minor"/>
      </rPr>
      <t xml:space="preserve"> contract outputs
- Validate file format, required headers, and consistent structure before processing
- Provide clear error messaging if validation fails
- Link spend and contract data at vendor level
- Generate internal unique contract IDs when none exist
- Retain original contract IDs in a separate column for reference</t>
    </r>
  </si>
  <si>
    <t>- Users can upload spend and Kira outputs
- Tool validates file format and headers
- Clear error messaging is provided if validation fails
- Contracts are linked to spend at vendor level
- Internal contract IDs generated when missing
- Original IDs retained and visible</t>
  </si>
  <si>
    <t>Considered for V3</t>
  </si>
  <si>
    <t>V3.0</t>
  </si>
  <si>
    <r>
      <rPr>
        <b/>
        <sz val="11"/>
        <color theme="1"/>
        <rFont val="Aptos Narrow"/>
        <family val="2"/>
        <scheme val="minor"/>
      </rPr>
      <t xml:space="preserve">10/7: </t>
    </r>
    <r>
      <rPr>
        <sz val="11"/>
        <color theme="1"/>
        <rFont val="Aptos Narrow"/>
        <family val="2"/>
        <scheme val="minor"/>
      </rPr>
      <t xml:space="preserve">Confirmed no rebate forms. Adam is providing eBrevia sample for evaluation. </t>
    </r>
    <r>
      <rPr>
        <b/>
        <sz val="11"/>
        <color theme="1"/>
        <rFont val="Aptos Narrow"/>
        <family val="2"/>
        <scheme val="minor"/>
      </rPr>
      <t xml:space="preserve">
10/2:</t>
    </r>
    <r>
      <rPr>
        <sz val="11"/>
        <color theme="1"/>
        <rFont val="Aptos Narrow"/>
        <family val="2"/>
        <scheme val="minor"/>
      </rPr>
      <t xml:space="preserve"> eBrevia was mentioned by Adam as a nice to have. Exploring technical feasbility with the dev team. Do we still need to ingest all the individual rebate forms? </t>
    </r>
  </si>
  <si>
    <t>SpendCube - Non-HC (Updated for SynergEY.ai)</t>
  </si>
  <si>
    <t>Data Ingestion (Buyer and Target)</t>
  </si>
  <si>
    <t>As a user, I want to upload client spend and contract analysis data for both the buyer and the target, so that it can be processed in the tool</t>
  </si>
  <si>
    <r>
      <t>- Tool must support upload of client spend files, as well as Kira a</t>
    </r>
    <r>
      <rPr>
        <sz val="11"/>
        <rFont val="Aptos Narrow"/>
        <family val="2"/>
        <scheme val="minor"/>
      </rPr>
      <t>nd/or eBrevia</t>
    </r>
    <r>
      <rPr>
        <sz val="11"/>
        <color theme="1"/>
        <rFont val="Aptos Narrow"/>
        <family val="2"/>
        <scheme val="minor"/>
      </rPr>
      <t xml:space="preserve"> contract outputs for both the buyer and the target
- Validate file format, required headers, and consistent structure before processing
-Requires same column headers for both target and buyer files to be uploaded
- Provide clear error messaging if validation fails
- Link spend and contract data at vendor level
- Generate internal unique contract IDs when none exist
- Retain original contract IDs in a separate column for reference
-Files will be merged across buyer and target with column for identifier of buyer/target</t>
    </r>
  </si>
  <si>
    <t>- Users can upload spend and Kira outputs for both buyer and target
- Tool validates file format and headers
- Clear error messaging is provided if validation fails
- Contracts are linked to spend at vendor level
- Internal contract IDs generated when missing
- Original IDs retained and visible
-Tool produces merged file with identifier for buyer/target</t>
  </si>
  <si>
    <t>-Tool must allow toggle for currency conversion as well as selection of denomination to convert to
-Calculate unit price, total amount, total spend, addressable spend, and savings in selected denomination by leveraging API for conversion rate and multiplying by the current cost</t>
  </si>
  <si>
    <t>-User can select toggle for currency conversion and select a denomination
-Outputs reflect standardized currency even when inputs have different currencies</t>
  </si>
  <si>
    <t>Scalability (Performance &amp; Row Capacity)</t>
  </si>
  <si>
    <t>As a user, I want the tool to process large datasets efficiently so I can analyze without splitting files</t>
  </si>
  <si>
    <t>- Support processing of up to 500k rows baseline; Target capacity 700k–800k rows 
- Maintain stable performance across normalization, classification, lever analysis, and exports
- System stress-tested to confirm accuracy at maximum row counts
- Provide runtime feedback to users during large file processing</t>
  </si>
  <si>
    <t>- Tool processes 500k row files without errors
- Accuracy is maintained across core functions at scale
- Users see progress indicators while large files process</t>
  </si>
  <si>
    <r>
      <rPr>
        <b/>
        <sz val="11"/>
        <color theme="1"/>
        <rFont val="Aptos Narrow"/>
        <family val="2"/>
        <scheme val="minor"/>
      </rPr>
      <t xml:space="preserve">10/3: </t>
    </r>
    <r>
      <rPr>
        <sz val="11"/>
        <color theme="1"/>
        <rFont val="Aptos Narrow"/>
        <family val="2"/>
        <scheme val="minor"/>
      </rPr>
      <t>Accuracy to be tested in UAT</t>
    </r>
  </si>
  <si>
    <t>Define Industry Specific Taxonomy</t>
  </si>
  <si>
    <t>As a user, I want the tool to generate an industry-specific taxonomy if I have not uploaded my client’s taxonomy so I can categorize spend in a way that reflects my sector</t>
  </si>
  <si>
    <t>- Tool checks for uploaded client taxonomy first
- If no taxonomy is uploaded, generate taxonomy using internal reference data and LLM analysis
- Taxonomy editable during mapping stage
- Users can confirm, edit, or override categories
- Adjustments must be re-uploaded into the tool</t>
  </si>
  <si>
    <t>- Tool prioritizes uploaded client taxonomy
- If none is uploaded, tool generates taxonomy using internal reference + LLM analysis
- Users can edit and confirm taxonomy before progressing
- Adjusted taxonomy is re-uploaded and applied</t>
  </si>
  <si>
    <t>Adam Pettke</t>
  </si>
  <si>
    <r>
      <rPr>
        <b/>
        <sz val="11"/>
        <rFont val="Aptos Narrow"/>
        <family val="2"/>
        <scheme val="minor"/>
      </rPr>
      <t xml:space="preserve">10/3: </t>
    </r>
    <r>
      <rPr>
        <sz val="11"/>
        <rFont val="Aptos Narrow"/>
        <family val="2"/>
        <scheme val="minor"/>
      </rPr>
      <t xml:space="preserve">Mapped file is currently downloaded as a CSV to provide faster download speed and allowing for increased rows. CSV only allows for one tab. Currently the user makes any changes and then reuploads and the tool reads the entire file. </t>
    </r>
    <r>
      <rPr>
        <b/>
        <sz val="11"/>
        <rFont val="Aptos Narrow"/>
        <family val="2"/>
        <scheme val="minor"/>
      </rPr>
      <t xml:space="preserve">
</t>
    </r>
  </si>
  <si>
    <t>As a user, I want the tool to learn from my adjustments so that future taxonomy recommendations are more accurate</t>
  </si>
  <si>
    <t>- Tool ingests adjustments made during mapping
- Adjustments stored as learning for similar clients by sector, subsector, and revenue range
- Learning refines category definitions and structure over time</t>
  </si>
  <si>
    <t>- Tool applies user adjustments to improve taxonomy recommendations in future projects
- Adjusted taxonomies persist and influence subsequent tool suggestions</t>
  </si>
  <si>
    <r>
      <rPr>
        <b/>
        <sz val="11"/>
        <color theme="1"/>
        <rFont val="Aptos Narrow"/>
        <family val="2"/>
        <scheme val="minor"/>
      </rPr>
      <t>10/3:</t>
    </r>
    <r>
      <rPr>
        <sz val="11"/>
        <color theme="1"/>
        <rFont val="Aptos Narrow"/>
        <family val="2"/>
        <scheme val="minor"/>
      </rPr>
      <t xml:space="preserve"> Started testing on real data provided by SC team on a rolling basis. Testing two deep learning model approaches, providing recommendation on what maintains model accuracy and allows for more agile updates (likely using the embedding model from ChatGPT). 
</t>
    </r>
    <r>
      <rPr>
        <b/>
        <sz val="11"/>
        <color theme="1"/>
        <rFont val="Aptos Narrow"/>
        <family val="2"/>
        <scheme val="minor"/>
      </rPr>
      <t xml:space="preserve">Risk: </t>
    </r>
    <r>
      <rPr>
        <sz val="11"/>
        <color theme="1"/>
        <rFont val="Aptos Narrow"/>
        <family val="2"/>
        <scheme val="minor"/>
      </rPr>
      <t>Deep learning model is built, but we need access to real data to test against.</t>
    </r>
  </si>
  <si>
    <t>Spend and Contract Data Merging</t>
  </si>
  <si>
    <t>As a user, I want the tool to ingest Kira and/or eBrevia outputs and link them with spend data so I can see contract coverage</t>
  </si>
  <si>
    <t>- Ingest Kira and/or outputs and merge with spend through a normalized supplier name column
- Generate normalized supplier name, keeping original supplier name and all other original columns intact
- Generate internal contract IDs if none exist (likely already present in output file)
- Store original and internal contract IDs in separate columns; Use internal ID for tracking, original ID remains visible</t>
  </si>
  <si>
    <t>- Tool ingests Kira / eBrevia outputs and links contracts to spend through normalized supplier name
- Internal IDs are generated where missing
- Both original and internal IDs are visible
- Contracts are not incorrectly merged</t>
  </si>
  <si>
    <r>
      <rPr>
        <b/>
        <sz val="11"/>
        <color theme="1"/>
        <rFont val="Aptos Narrow"/>
        <family val="2"/>
        <scheme val="minor"/>
      </rPr>
      <t>10/7:</t>
    </r>
    <r>
      <rPr>
        <sz val="11"/>
        <color theme="1"/>
        <rFont val="Aptos Narrow"/>
        <family val="2"/>
        <scheme val="minor"/>
      </rPr>
      <t xml:space="preserve"> Add in eBrevia</t>
    </r>
  </si>
  <si>
    <t>As a user, I want contract data standardized so I can analyze it consistently with spend</t>
  </si>
  <si>
    <t>- Normalize supplier names 
- Apply consistent mapping to merge supplier name variations
- Normalized data must be traceable back to original entries
- Original supplier/vendor names must always be preserved in a separate column for auditability and reference</t>
  </si>
  <si>
    <t>- Supplier variations are merged consistently
- Normalized data is traceable to original entries
- Original Supplier/vendor names are maintained in the output alongside Normalized names</t>
  </si>
  <si>
    <r>
      <rPr>
        <b/>
        <sz val="11"/>
        <color theme="1"/>
        <rFont val="Aptos Narrow"/>
        <family val="2"/>
        <scheme val="minor"/>
      </rPr>
      <t xml:space="preserve">10/7: </t>
    </r>
    <r>
      <rPr>
        <sz val="11"/>
        <color theme="1"/>
        <rFont val="Aptos Narrow"/>
        <family val="2"/>
        <scheme val="minor"/>
      </rPr>
      <t>Contract file addition is only supplier normalization column addition, no validation needed-apply consistent normalization from spend file.</t>
    </r>
    <r>
      <rPr>
        <b/>
        <sz val="11"/>
        <color theme="1"/>
        <rFont val="Aptos Narrow"/>
        <family val="2"/>
        <scheme val="minor"/>
      </rPr>
      <t xml:space="preserve">
10/3: </t>
    </r>
    <r>
      <rPr>
        <sz val="11"/>
        <color theme="1"/>
        <rFont val="Aptos Narrow"/>
        <family val="2"/>
        <scheme val="minor"/>
      </rPr>
      <t xml:space="preserve">If there is a contract supplier that is not listed in the spend file, should this be flagged in the UI or in the download? Do we also want validation of contract file initially at the same stage? </t>
    </r>
  </si>
  <si>
    <t>Review &amp; Feedback Loop</t>
  </si>
  <si>
    <t>Feedback Incorporation</t>
  </si>
  <si>
    <t>As a user, I want to review categorization outputs so I can validate and correct them</t>
  </si>
  <si>
    <t>- Tool exports mapping outputs to Excel
- Users manually review and adjust categorizations at the item level
- Validated file must be re-uploaded into the tool
- Tool applies validated dataset moving forward</t>
  </si>
  <si>
    <t>- Users can export mapping outputs to Excel
- Users can adjust categorizations at the item level in Excel
- Tool ingests the re-uploaded Excel file and applies those adjustments</t>
  </si>
  <si>
    <t>Historical Data Learning</t>
  </si>
  <si>
    <t>As a user, I want the tool to learn from my adjustments so that future categorizations are more accurate</t>
  </si>
  <si>
    <t>- Tool captures adjustments from validated Excel uploads
- Adjustments stored in golden anonymized database under PIA approval
- Learnings applied to similar future items such as same vendor, description, or contract type
- Updates incorporated into tool refresh cycles (1–3 months)</t>
  </si>
  <si>
    <t>- User adjustments are stored in anonymized form
- Tool applies learnings to similar future items
- Learnings incorporated in regular refresh cycles
- Adjustments comply with PIA requirements</t>
  </si>
  <si>
    <t>Core AI Processing</t>
  </si>
  <si>
    <t>Dashboard View</t>
  </si>
  <si>
    <t>As a user, I want to see a high-level dashboard of my spend so I can understand patterns and compliance</t>
  </si>
  <si>
    <t>- Dashboard must display the following metrics:
   • Total spend by business unit, category, and supplier
   • Number of total vendors
   • Number of vendors catering to top 80% of spend
   • Number of tail spend vendors
   • Percentage of maverick spend
   • Seasonality patterns in spend
   • Spend trends over time
   • Overall contract compliance levels
- Metrics should be visualized in charts/tables with consistent formatting</t>
  </si>
  <si>
    <t>- Dashboard displays all required metrics
- Users can view total spend, vendor distribution, maverick %, seasonality, trends, and compliance
- Data is accurate and consistently formatted</t>
  </si>
  <si>
    <t>Dashboard / Spend Assessment</t>
  </si>
  <si>
    <r>
      <rPr>
        <b/>
        <sz val="11"/>
        <color theme="1"/>
        <rFont val="Aptos Narrow"/>
        <family val="2"/>
        <scheme val="minor"/>
      </rPr>
      <t xml:space="preserve">10/3: </t>
    </r>
    <r>
      <rPr>
        <sz val="11"/>
        <color theme="1"/>
        <rFont val="Aptos Narrow"/>
        <family val="2"/>
        <scheme val="minor"/>
      </rPr>
      <t xml:space="preserve">No changes to the dashboard will be necessary for with lever analysis. </t>
    </r>
    <r>
      <rPr>
        <b/>
        <sz val="11"/>
        <color theme="1"/>
        <rFont val="Aptos Narrow"/>
        <family val="2"/>
        <scheme val="minor"/>
      </rPr>
      <t xml:space="preserve">
9/22: </t>
    </r>
    <r>
      <rPr>
        <sz val="11"/>
        <color theme="1"/>
        <rFont val="Aptos Narrow"/>
        <family val="2"/>
        <scheme val="minor"/>
      </rPr>
      <t xml:space="preserve">Dashboarding UI is complete. </t>
    </r>
  </si>
  <si>
    <t>Lever Analysis – L2 Category Summary</t>
  </si>
  <si>
    <t>As a user, I want to view a summary of spend categories so I can see total spend, addressability, and savings potential</t>
  </si>
  <si>
    <t>- Display L2 categories with total spend, addressability %, addressable spend, and savings % ranges with $ values
- Auto-sort categories by total spend (highest to lowest)
- Round all numbers to two decimal places
- Editable fields: addressability %, low savings %, high savings %
- Pre-populate editable fields with LLM-generated suggestions
- Dynamic calculations update when values are changed</t>
  </si>
  <si>
    <t>- Tool displays all L2 categories with spend, addressability, and savings metrics
- Categories are auto-sorted by total spend
- Numbers are rounded to two decimal places
- Editable fields are pre-populated with LLM suggestions
- Edits update calculations dynamically</t>
  </si>
  <si>
    <t>Lever Analysis</t>
  </si>
  <si>
    <t xml:space="preserve">10/3: Much of the UI and backend can be repurposed. 
</t>
  </si>
  <si>
    <t>Lever Analysis – Bucketed Levers</t>
  </si>
  <si>
    <t>As a user, I want to allocate savings across lever buckets so I can see where impact comes from</t>
  </si>
  <si>
    <t>- Display four buckets: Quick Wins, Value Enhancement, Cost Optimization, LLM Generated
- Fixed levers under first three buckets, dynamically generate up to two LLM levers per L2
- Editable fields: addressability %, savings %, allocations across buckets
- Pre-populate editable fields with LLM-generated suggestions
- Users must allocate savings % across all buckets and levers combined, totaling 100% of the opportunity
- Tool must prevent overstating opportunity by disallowing multiple 100% allocations (e.g., across buckets and within buckets at the same time)
- Dynamic roll-ups for bucket totals and lever totals</t>
  </si>
  <si>
    <t>- Buckets and levers are displayed for each L2
- Editable fields are pre-populated with LLM suggestions
- Tool enforces allocations = 100% across buckets and levers
- Allocations must sum to 100% across all levers and buckets combined
- Tool prevents overstated savings by enforcing a single 100% total
- Roll-ups dynamically update as inputs change</t>
  </si>
  <si>
    <t>Lever Analysis – L3 Subcategory Breakdown</t>
  </si>
  <si>
    <t>As a user, I want to allocate savings across subcategories so I can understand savings drivers within an L2</t>
  </si>
  <si>
    <t>- Display L3 subcategories under each L2 with spend, addressability %, savings %, and $ ranges
- Editable fields: addressability %, savings %, allocations across subcategories
- Pre-populate editable fields with LLM-generated suggestions
- Users allocate % across L3 subcategories (must total 100%)
- Dynamic calculation adjustments for L3 allocations</t>
  </si>
  <si>
    <t>- Tool displays L3 subcategories with spend and savings metrics
- Editable fields are pre-populated with LLM suggestions
- Tool enforces allocations = 100% across subcategories
- Calculations dynamically update as inputs change</t>
  </si>
  <si>
    <r>
      <rPr>
        <b/>
        <sz val="11"/>
        <color theme="1"/>
        <rFont val="Aptos Narrow"/>
        <family val="2"/>
        <scheme val="minor"/>
      </rPr>
      <t xml:space="preserve">10/3: </t>
    </r>
    <r>
      <rPr>
        <sz val="11"/>
        <color theme="1"/>
        <rFont val="Aptos Narrow"/>
        <family val="2"/>
        <scheme val="minor"/>
      </rPr>
      <t xml:space="preserve">Dev team is able to share the prompts used for SC team to review. </t>
    </r>
  </si>
  <si>
    <t>Lever Analysis – Vendor Breakdown and Description for L3</t>
  </si>
  <si>
    <t>As a user, I want to view top 10 vendors by spend along with vendor descriptions for the L3 subcategories so I can understand which vendors can be prioritized for savings drivers</t>
  </si>
  <si>
    <t>-Tool must produce export with top 10 vendors listed underneath each L3 subcategory
-LLM leveraged to summarize types of spend for the vendor in combination with web research of vendor products/service purchased to produce vendor description</t>
  </si>
  <si>
    <t>-User can see top 10 vendors underneath each L3 subcategory within the excel export
-Vendor descriptions listed for each vendor that reflect consideration for product/service purchased and web research</t>
  </si>
  <si>
    <t>Lever Analysis – LLM generated savings rationale for L3</t>
  </si>
  <si>
    <t>As a user, I want to view savings rationale for the L3 subcategories so I can understand which levers are likely drive savings by subcategory</t>
  </si>
  <si>
    <t>-Tool must produce LLM generated savings rationale for the L3 subcategories listed through extension of original prompt which allocates savings
-Prompt will include considerations for levers from bucketed levers step (e.g., levers underneath Quick Wins, Value Enhancement, Cost Optimization, LLM Generated)</t>
  </si>
  <si>
    <t>-User can see LLM generated savings rationale automatically generated through the tool
-Provides starting point for user to validate and refine, which aids user in the synergy driver identification process</t>
  </si>
  <si>
    <t>Export Enhancements</t>
  </si>
  <si>
    <t>As a user, I want to export Lever Analysis outputs into Excel so I can analyze results transparently</t>
  </si>
  <si>
    <t>- Generate structured Excel outputs for L2 Summary, L2 by Lever/Bucket, and L2 by L3 Breakdown
- Include embedded formulas replicating tool calculations
- Round outputs to two decimal places
- Minimize need for manual manipulation before PowerBI or analysis</t>
  </si>
  <si>
    <t>- Users can export Excel files for all Lever Analysis views
- Exports contain embedded formulas replicating tool calculations
- Outputs are rounded consistently
- Files require little or no manual manipulation</t>
  </si>
  <si>
    <t>Export / Output</t>
  </si>
  <si>
    <r>
      <rPr>
        <b/>
        <sz val="11"/>
        <color theme="1"/>
        <rFont val="Aptos Narrow"/>
        <family val="2"/>
        <scheme val="minor"/>
      </rPr>
      <t>10/3:</t>
    </r>
    <r>
      <rPr>
        <sz val="11"/>
        <color theme="1"/>
        <rFont val="Aptos Narrow"/>
        <family val="2"/>
        <scheme val="minor"/>
      </rPr>
      <t xml:space="preserve"> Final Spend Cube should be CSV given the file size. Embedded formula excel will need to change entirely given the shift to lever analysis. </t>
    </r>
  </si>
  <si>
    <t>As a user, I want to export the overall spend cube file so I can see the full dataset linked to contracts</t>
  </si>
  <si>
    <t>- Generate consolidated spend cube file with spend + contract data
- File structured in Excel with embedded formulas showing linkages
- File designed for PowerBI compatibility without restructuring</t>
  </si>
  <si>
    <t>- Users can download spend cube file with spend and contract data
- File contains embedded formulas showing linkages
- File is PowerBI-ready</t>
  </si>
  <si>
    <r>
      <rPr>
        <b/>
        <sz val="11"/>
        <color theme="1"/>
        <rFont val="Aptos Narrow"/>
        <family val="2"/>
        <scheme val="minor"/>
      </rPr>
      <t xml:space="preserve">10/3: </t>
    </r>
    <r>
      <rPr>
        <sz val="11"/>
        <color theme="1"/>
        <rFont val="Aptos Narrow"/>
        <family val="2"/>
        <scheme val="minor"/>
      </rPr>
      <t xml:space="preserve">Reconfirm that contracts file only needs to link to Spend by vendor/supplier name and creating the Unique ID. </t>
    </r>
  </si>
  <si>
    <t>SynergEY.ai - Consolidated (Updated)</t>
  </si>
  <si>
    <t>Consolidated Export</t>
  </si>
  <si>
    <t>As a user, I want to export the consolidated savings summary so I can see the full savings across HC and non-HC</t>
  </si>
  <si>
    <t>- Generate consolidated savings tab with baseline spend, low savings% and $, and high savings % and $, and totals</t>
  </si>
  <si>
    <t>-Users can download excel file with consolidated savings across HC and non-HC that match detailed tabs</t>
  </si>
  <si>
    <t>ID</t>
  </si>
  <si>
    <t>Scenario</t>
  </si>
  <si>
    <t>Sprint</t>
  </si>
  <si>
    <t>Effort Point</t>
  </si>
  <si>
    <t>Effort required</t>
  </si>
  <si>
    <t>Dependencies</t>
  </si>
  <si>
    <t>Project Creation</t>
  </si>
  <si>
    <t>US-001</t>
  </si>
  <si>
    <t>Project Creation (Landing Page and authentication)</t>
  </si>
  <si>
    <t>Login via Capital Edge SSO</t>
  </si>
  <si>
    <t>As a user, I want to log in using Capital Edge Single Sign-On
So that I can securely access the application without separate credentials</t>
  </si>
  <si>
    <r>
      <rPr>
        <sz val="11"/>
        <color rgb="FF000000"/>
        <rFont val="Aptos Narrow"/>
        <scheme val="minor"/>
      </rPr>
      <t xml:space="preserve">
</t>
    </r>
    <r>
      <rPr>
        <b/>
        <sz val="11"/>
        <color rgb="FF000000"/>
        <rFont val="Aptos Narrow"/>
        <scheme val="minor"/>
      </rPr>
      <t>Scenario 1:</t>
    </r>
    <r>
      <rPr>
        <sz val="11"/>
        <color rgb="FF000000"/>
        <rFont val="Aptos Narrow"/>
        <scheme val="minor"/>
      </rPr>
      <t xml:space="preserve"> Display SSO login option
    Given the user is on the application login page
    When the page loads
    Then the page shows a button "Sign in with Capital Edge SSO"
</t>
    </r>
    <r>
      <rPr>
        <b/>
        <sz val="11"/>
        <color rgb="FF000000"/>
        <rFont val="Aptos Narrow"/>
        <scheme val="minor"/>
      </rPr>
      <t xml:space="preserve">  Scenario 2:</t>
    </r>
    <r>
      <rPr>
        <sz val="11"/>
        <color rgb="FF000000"/>
        <rFont val="Aptos Narrow"/>
        <scheme val="minor"/>
      </rPr>
      <t xml:space="preserve"> Redirect to Capital Edge SSO login page
    Given the user clicks "Sign in with Capital Edge SSO"
    When the system processes the request
    Then the user is redirected to Capital Edge SSO login page over HTTPS
    And the redirect URL contains a valid client ID and state parameter
</t>
    </r>
  </si>
  <si>
    <t>1. Login page displays an option for “Sign in with Capital Edge SSO”.
2. Clicking the option redirects to Capital Edge SSO login page.
3. Redirection uses HTTPS and secure OAuth/OpenID Connect protocol.
4. System maintains session state during redirection.
5. Page loads successfully and shows the SSO button.</t>
  </si>
  <si>
    <t>In Progress</t>
  </si>
  <si>
    <t>SSO Implemented. Need to check if it is compatible with cap Edge</t>
  </si>
  <si>
    <t>US-002</t>
  </si>
  <si>
    <t>Validate SSO token and create session</t>
  </si>
  <si>
    <t>As a user, I want the system to validate my identity via Capital Edge SSO, So that I can securely access the application after successful authentication</t>
  </si>
  <si>
    <r>
      <rPr>
        <sz val="11"/>
        <color rgb="FF000000"/>
        <rFont val="Aptos Narrow"/>
        <scheme val="minor"/>
      </rPr>
      <t xml:space="preserve">
</t>
    </r>
    <r>
      <rPr>
        <b/>
        <sz val="11"/>
        <color rgb="FF000000"/>
        <rFont val="Aptos Narrow"/>
        <scheme val="minor"/>
      </rPr>
      <t>Scenario 1:</t>
    </r>
    <r>
      <rPr>
        <sz val="11"/>
        <color rgb="FF000000"/>
        <rFont val="Aptos Narrow"/>
        <scheme val="minor"/>
      </rPr>
      <t xml:space="preserve"> Successful authentication
    Given the user has logged in via Capital Edge SSO
    And the SSO provider returns a valid token
    When the application validates the token
    Then the user session is created
    And the user is redirected to the dashboard
 </t>
    </r>
    <r>
      <rPr>
        <b/>
        <sz val="11"/>
        <color rgb="FF000000"/>
        <rFont val="Aptos Narrow"/>
        <scheme val="minor"/>
      </rPr>
      <t xml:space="preserve"> Scenario 2: </t>
    </r>
    <r>
      <rPr>
        <sz val="11"/>
        <color rgb="FF000000"/>
        <rFont val="Aptos Narrow"/>
        <scheme val="minor"/>
      </rPr>
      <t xml:space="preserve">Invalid token
    Given the SSO provider returns an invalid or expired token
    When the application attempts validation
    Then the system displays "Authentication failed"
</t>
    </r>
  </si>
  <si>
    <t>1. After successful login at Capital Edge, user is redirected back to the application.
2. Application receives and validates the SSO token.
3. Session is created with user details (name, email, roles).
4. Failed token validation results in error message and no session.</t>
  </si>
  <si>
    <t>US-003</t>
  </si>
  <si>
    <t>Authentication error handling</t>
  </si>
  <si>
    <t>As a user, I want clear error messages when login fails
So that I understand what went wrong and can retry</t>
  </si>
  <si>
    <r>
      <rPr>
        <b/>
        <sz val="11"/>
        <color rgb="FF000000"/>
        <rFont val="Aptos Narrow"/>
        <scheme val="minor"/>
      </rPr>
      <t xml:space="preserve">
Scenario 1: </t>
    </r>
    <r>
      <rPr>
        <sz val="11"/>
        <color rgb="FF000000"/>
        <rFont val="Aptos Narrow"/>
        <scheme val="minor"/>
      </rPr>
      <t xml:space="preserve">Invalid credentials at SSO
    Given the user enters incorrect credentials on Capital Edge SSO page
    When the SSO provider rejects the login
    Then the application displays "Login failed. Please try again."
</t>
    </r>
    <r>
      <rPr>
        <b/>
        <sz val="11"/>
        <color rgb="FF000000"/>
        <rFont val="Aptos Narrow"/>
        <scheme val="minor"/>
      </rPr>
      <t xml:space="preserve">  Scenario 2:</t>
    </r>
    <r>
      <rPr>
        <sz val="11"/>
        <color rgb="FF000000"/>
        <rFont val="Aptos Narrow"/>
        <scheme val="minor"/>
      </rPr>
      <t xml:space="preserve"> Expired token
    Given the user attempts to return to the application after token expiry
    When the application validates the token
    Then the system displays "Session expired. Please log in again."</t>
    </r>
  </si>
  <si>
    <t>1. Display error for invalid credentials at SSO provider.
2. Display error for expired session or token.
3. Log all authentication failures for audit.</t>
  </si>
  <si>
    <t>US-004</t>
  </si>
  <si>
    <t>Apply Session watermarking</t>
  </si>
  <si>
    <t>As a user, I want the tool to display a watermark with project name, timestamp, session ID, and user
So that I can identify session context and prevent misuse</t>
  </si>
  <si>
    <r>
      <rPr>
        <sz val="11"/>
        <color rgb="FF000000"/>
        <rFont val="Aptos Narrow"/>
      </rPr>
      <t xml:space="preserve">
</t>
    </r>
    <r>
      <rPr>
        <b/>
        <sz val="11"/>
        <color rgb="FF000000"/>
        <rFont val="Aptos Narrow"/>
      </rPr>
      <t>Scenario 1:</t>
    </r>
    <r>
      <rPr>
        <sz val="11"/>
        <color rgb="FF000000"/>
        <rFont val="Aptos Narrow"/>
      </rPr>
      <t xml:space="preserve"> Display watermark with session details
    Given the user is logged in and opens the tool
    When the session is active
    Then the watermark shows:
      | Project Name | Timestamp | Session ID | User |
    And the watermark is visible on all screens
</t>
    </r>
    <r>
      <rPr>
        <b/>
        <sz val="11"/>
        <color rgb="FF000000"/>
        <rFont val="Aptos Narrow"/>
      </rPr>
      <t>Scenario 2:</t>
    </r>
    <r>
      <rPr>
        <sz val="11"/>
        <color rgb="FF000000"/>
        <rFont val="Aptos Narrow"/>
      </rPr>
      <t xml:space="preserve"> Watermark displays correctly with special characters in project name
  Given the project name is "R&amp;D@2025"
  And the user is logged in
  When the session starts
  Then the watermark shows "R&amp;D@2025 | Timestamp | SessionID | User"
</t>
    </r>
    <r>
      <rPr>
        <b/>
        <sz val="11"/>
        <color rgb="FF000000"/>
        <rFont val="Aptos Narrow"/>
      </rPr>
      <t>Scenario 3:</t>
    </r>
    <r>
      <rPr>
        <sz val="11"/>
        <color rgb="FF000000"/>
        <rFont val="Aptos Narrow"/>
      </rPr>
      <t xml:space="preserve"> Watermark persists across multiple tabs
  Given the user opens two tabs of the tool
  When the session is active
  Then both tabs display the correct watermark for the same session
</t>
    </r>
  </si>
  <si>
    <t>1. Watermark appears on every page of the tool.
2. Watermark includes: project name, timestamp (UTC), session ID, and username.
3. Watermark updates if session changes.
4. Watermark is non-removable and semi-transparent.</t>
  </si>
  <si>
    <t>Testing pending. will be completed once the Reddis and Open AI services are available</t>
  </si>
  <si>
    <t>US-005</t>
  </si>
  <si>
    <t>Activity logging</t>
  </si>
  <si>
    <t>As a system, I want to log user actions and analysis selections
So that audit and reporting are accurate</t>
  </si>
  <si>
    <r>
      <rPr>
        <b/>
        <sz val="11"/>
        <color rgb="FF000000"/>
        <rFont val="Aptos Narrow"/>
        <scheme val="minor"/>
      </rPr>
      <t xml:space="preserve">
Scenario 1</t>
    </r>
    <r>
      <rPr>
        <sz val="11"/>
        <color rgb="FF000000"/>
        <rFont val="Aptos Narrow"/>
        <scheme val="minor"/>
      </rPr>
      <t xml:space="preserve">: Log user actions and analysis selections
    Given the user selects "HC" and "Non HC" analyses
    When the user works for 15 minutes
    Then the log entry includes:
      | User | Session ID | Analyses | Duration |
      | Neil | S12345 | HC, Non HC | 15 mins |
</t>
    </r>
  </si>
  <si>
    <t>1. Log includes: user ID, timestamp, selected analyses (HC, non-HC), duration of usage.
2. Logs stored securely and tamper-proof.
3. Logs capture session start, end, and inactivity periods.</t>
  </si>
  <si>
    <t>US-006</t>
  </si>
  <si>
    <t>Session timeout</t>
  </si>
  <si>
    <t>As a user, I want the system to warn me before session timeout and allow extension
So that I don’t lose unsaved work</t>
  </si>
  <si>
    <r>
      <rPr>
        <sz val="11"/>
        <color rgb="FF000000"/>
        <rFont val="Aptos Narrow"/>
      </rPr>
      <t xml:space="preserve">
</t>
    </r>
    <r>
      <rPr>
        <b/>
        <sz val="11"/>
        <color rgb="FF000000"/>
        <rFont val="Aptos Narrow"/>
      </rPr>
      <t xml:space="preserve">Scenario 1: </t>
    </r>
    <r>
      <rPr>
        <sz val="11"/>
        <color rgb="FF000000"/>
        <rFont val="Aptos Narrow"/>
      </rPr>
      <t xml:space="preserve">Warn user before timeout
    Given the user is inactive for 29 minutes
    When the system detects inactivity
    Then a dialog appears with message "Session will expire in 1 minute"
    And options "Continue" and "Logout"
  </t>
    </r>
    <r>
      <rPr>
        <b/>
        <sz val="11"/>
        <color rgb="FF000000"/>
        <rFont val="Aptos Narrow"/>
      </rPr>
      <t>Scenario 2:</t>
    </r>
    <r>
      <rPr>
        <sz val="11"/>
        <color rgb="FF000000"/>
        <rFont val="Aptos Narrow"/>
      </rPr>
      <t xml:space="preserve"> Extend session
    Given the warning dialog is displayed
    When the user clicks "Continue"
    Then the session timer resets to 30 minutes
</t>
    </r>
    <r>
      <rPr>
        <b/>
        <sz val="11"/>
        <color rgb="FF000000"/>
        <rFont val="Aptos Narrow"/>
      </rPr>
      <t xml:space="preserve">  Scenario 3: </t>
    </r>
    <r>
      <rPr>
        <sz val="11"/>
        <color rgb="FF000000"/>
        <rFont val="Aptos Narrow"/>
      </rPr>
      <t xml:space="preserve">Timeout after inactivity
    Given the user does not respond to the warning
    When 1 minute passes
    Then the session ends
    And unsaved work is lost
</t>
    </r>
    <r>
      <rPr>
        <b/>
        <sz val="11"/>
        <color rgb="FF000000"/>
        <rFont val="Aptos Narrow"/>
      </rPr>
      <t>Scenario 4</t>
    </r>
    <r>
      <rPr>
        <sz val="11"/>
        <color rgb="FF000000"/>
        <rFont val="Aptos Narrow"/>
      </rPr>
      <t xml:space="preserve">: User interacts just before timeout
  Given the user is inactive for 29 minutes and 59 seconds
  When the user clicks anywhere in the tool
  Then the session timer resets to 30 minutes
  And no warning dialog is shown
</t>
    </r>
    <r>
      <rPr>
        <b/>
        <sz val="11"/>
        <color rgb="FF000000"/>
        <rFont val="Aptos Narrow"/>
      </rPr>
      <t>Scenario 5</t>
    </r>
    <r>
      <rPr>
        <sz val="11"/>
        <color rgb="FF000000"/>
        <rFont val="Aptos Narrow"/>
      </rPr>
      <t xml:space="preserve">: User clicks Continue after timeout
  Given the warning dialog was displayed
  And the session expired while the dialog was open
  When the user clicks "Continue"
  Then the system displays "Session expired. Please log in again"
  And redirects to the login page
</t>
    </r>
    <r>
      <rPr>
        <b/>
        <sz val="11"/>
        <color rgb="FF000000"/>
        <rFont val="Aptos Narrow"/>
      </rPr>
      <t>Scenario 6:</t>
    </r>
    <r>
      <rPr>
        <sz val="11"/>
        <color rgb="FF000000"/>
        <rFont val="Aptos Narrow"/>
      </rPr>
      <t xml:space="preserve"> Multiple tabs timeout consistency
  Given the user has two tabs open in the same session
  When the session expires in one tab
  Then the other tab also shows "Session expired" immediately
</t>
    </r>
  </si>
  <si>
    <t>1. Session times out after 30 minutes of inactivity.
2. Warning dialog appears at 29 minutes with option to “Continue”.
3. Clicking “Continue” resets timer to 30 minutes.
4. If user does nothing, session ends and unsaved work is lost.</t>
  </si>
  <si>
    <t>Need to check if all the scenarios are implemented (Adarsha nd Aditya to get back)</t>
  </si>
  <si>
    <t>US-007</t>
  </si>
  <si>
    <t>Project Creation (Project Creation Wizard)</t>
  </si>
  <si>
    <t>Create a new project from UI</t>
  </si>
  <si>
    <t>As a user, I want to open the application user interface,
So that I can access the functionality to create a new project.</t>
  </si>
  <si>
    <r>
      <rPr>
        <b/>
        <sz val="11"/>
        <color rgb="FF000000"/>
        <rFont val="Aptos Narrow"/>
        <scheme val="minor"/>
      </rPr>
      <t>Scenario 1:</t>
    </r>
    <r>
      <rPr>
        <sz val="11"/>
        <color rgb="FF000000"/>
        <rFont val="Aptos Narrow"/>
        <scheme val="minor"/>
      </rPr>
      <t xml:space="preserve"> Successfully open the UI
Given the application is installed and accessible
When the user launches the application
Then the application UI should load successfully
And the home screen should display the main navigation options
</t>
    </r>
    <r>
      <rPr>
        <b/>
        <sz val="11"/>
        <color rgb="FF000000"/>
        <rFont val="Aptos Narrow"/>
        <scheme val="minor"/>
      </rPr>
      <t>Scenario 2</t>
    </r>
    <r>
      <rPr>
        <sz val="11"/>
        <color rgb="FF000000"/>
        <rFont val="Aptos Narrow"/>
        <scheme val="minor"/>
      </rPr>
      <t xml:space="preserve">: Application fails to open
Given the application is installed
When the user launches the application
And the application encounters an error
Then an error message should be displayed
And the user should have an option to retry or exit
</t>
    </r>
  </si>
  <si>
    <t>1. The application launches without errors.
2. The UI loads within 5 seconds.
3. The home screen displays:
       A visible navigation menu.
       A “New Project” button or link.
4. If the application fails to load, an error message is displayed with retry option.
5. Error message includes:
      Clear description of the issue.
      Retry and Exit buttons.
6. Application logs the error for troubleshooting.</t>
  </si>
  <si>
    <t>US-008</t>
  </si>
  <si>
    <t>Select "New Project"</t>
  </si>
  <si>
    <t>As a user, I want to select the ‘New Project’ option from the UI,
So that I can start creating a new project.</t>
  </si>
  <si>
    <r>
      <rPr>
        <b/>
        <sz val="11"/>
        <color rgb="FF000000"/>
        <rFont val="Aptos Narrow"/>
      </rPr>
      <t>Scenario 1:</t>
    </r>
    <r>
      <rPr>
        <sz val="11"/>
        <color rgb="FF000000"/>
        <rFont val="Aptos Narrow"/>
      </rPr>
      <t xml:space="preserve"> Successfully select ‘New Project’
Given the application UI is open
And the user is on the home screen
When the user clicks on “New Project”
Then the system should navigate to the project creation screen
And display fields for project details
</t>
    </r>
    <r>
      <rPr>
        <b/>
        <sz val="11"/>
        <color rgb="FF000000"/>
        <rFont val="Aptos Narrow"/>
      </rPr>
      <t>Scenario 2: ‘</t>
    </r>
    <r>
      <rPr>
        <sz val="11"/>
        <color rgb="FF000000"/>
        <rFont val="Aptos Narrow"/>
      </rPr>
      <t xml:space="preserve">New Project’ option is disabled
Given the application UI is open
And the user is on the home screen
When the user tries to click “New Project”
And the option is disabled due to insufficient permissions
Then the system should display an error message
And suggest contacting the administrator
</t>
    </r>
    <r>
      <rPr>
        <b/>
        <sz val="11"/>
        <color rgb="FF000000"/>
        <rFont val="Aptos Narrow"/>
      </rPr>
      <t>Scenario 3:</t>
    </r>
    <r>
      <rPr>
        <sz val="11"/>
        <color rgb="FF000000"/>
        <rFont val="Aptos Narrow"/>
      </rPr>
      <t xml:space="preserve"> System error while opening ‘New Project’
Given the application UI is open
And the user clicks “New Project”
When the system encounters an error loading the project creation screen
Then an error message should be displayed
And the user should have an option to retry or return to home</t>
    </r>
  </si>
  <si>
    <t>1. “New Project” button is visible and clickable.
2. Clicking the button navigates to the project creation screen.
3. Project creation screen includes:
        Project Name field (mandatory).
        Description field (optional).
        Save and Cancel buttons.
4. Disabled state is visually distinct (greyed out).
5. Error message explains lack of permissions.
6. No navigation occurs.
7. Error message includes:
        Clear description of the issue.
        Retry and Home buttons.
8. System logs the error.</t>
  </si>
  <si>
    <t>US-009</t>
  </si>
  <si>
    <t>Enter project details</t>
  </si>
  <si>
    <t>As a user, I want to see all required fields for project details based on selected analysis type, So that I can provide accurate information for the project.</t>
  </si>
  <si>
    <r>
      <rPr>
        <b/>
        <sz val="11"/>
        <color rgb="FF000000"/>
        <rFont val="Aptos Narrow"/>
        <scheme val="minor"/>
      </rPr>
      <t>Scenario 1</t>
    </r>
    <r>
      <rPr>
        <sz val="11"/>
        <color rgb="FF000000"/>
        <rFont val="Aptos Narrow"/>
        <scheme val="minor"/>
      </rPr>
      <t>: Display all mandatory fields
Given the user has selected "New Project"
When the project details screen loads
Then the form should display all required fields
And fields should be grouped logically (General Info, Buyer Details, Target Details, Analysis Options)</t>
    </r>
  </si>
  <si>
    <t xml:space="preserve">1. Sections:
               General Info: Project Name, Description, Legal Hold, Engagement Partner, CIC Clause Confirmations.
               Buyer Details: Name, Public/Private, Financials, Region, FTEs, Shared Services.
               Target Details: Same as Buyer.
               Analysis Toggles: HC, Non-HC, Real Estate.
               SpendCube-specific fields only appear if Non-HC analysis is toggled.
               Census-specific fields only appear if HC analysis is toggled
2. All mandatory fields marked with an asterisk.
3. Validation messages for missing required fields.
</t>
  </si>
  <si>
    <t>Yet to start</t>
  </si>
  <si>
    <t>TO DO: Configure SQL DB to SQL API (Refer to other projects in capital edge and follow similar implementation parocess)</t>
  </si>
  <si>
    <t>US-010</t>
  </si>
  <si>
    <t>As a user, I want to toggle analysis types (HC, Non-HC, Real Estate),
So that only relevant fields appear.</t>
  </si>
  <si>
    <t xml:space="preserve">Scenario 1: HC analysis selected
Given the user is on the project details screen
When the user toggles HC analysis ON
Then fields required for census should appear
And fields for SpendCube should remain hidden
Scenario 2: Non-HC analysis selected
Given the user is on the project details screen
When the user toggles Non-HC analysis ON
Then fields required for SpendCube should appear
And fields for census should remain hidden
</t>
  </si>
  <si>
    <t xml:space="preserve">1. HC toggle ON → Show:
            Region of operations.
            No. of FTEs.
            Shared services presence.
2. HC toggle OFF → Hide these fields.
3. Non-HC toggle ON → Show:
            BU.
            Type of spend.
             Peers.
              Min/Max revenue.
4. Non-HC toggle OFF → Hide these fields.
</t>
  </si>
  <si>
    <t>Need to check if all the scenarios are implemented (Adarsh and Aditya to get back)</t>
  </si>
  <si>
    <t>US-011</t>
  </si>
  <si>
    <t>As a user, I want to toggle currency conversion and select a currency,
So that financial data is converted correctly.</t>
  </si>
  <si>
    <r>
      <rPr>
        <b/>
        <sz val="11"/>
        <color rgb="FF000000"/>
        <rFont val="Aptos Narrow"/>
        <scheme val="minor"/>
      </rPr>
      <t>Scenario 1:</t>
    </r>
    <r>
      <rPr>
        <sz val="11"/>
        <color rgb="FF000000"/>
        <rFont val="Aptos Narrow"/>
        <scheme val="minor"/>
      </rPr>
      <t xml:space="preserve"> Currency conversion enabled
Given the user is on the project details screen
When the user toggles currency conversion ON
Then a dropdown to select target currency should appear
And the user can choose from predefined currencies (USD, EUR, GBP, etc.)</t>
    </r>
  </si>
  <si>
    <t>1. Toggle OFF → No currency dropdown.
2. Toggle ON → Dropdown appears with at least 5 major currencies.
3. Default currency = USD.
4. Validation: User must select a currency if toggle is ON.</t>
  </si>
  <si>
    <t>UI</t>
  </si>
  <si>
    <t>US-012</t>
  </si>
  <si>
    <t>Auto-populate data from Cap IQ</t>
  </si>
  <si>
    <t>As a user, I want to auto-populate company details from CapIQ if available,
So that I save time and reduce manual entry.</t>
  </si>
  <si>
    <r>
      <rPr>
        <b/>
        <sz val="11"/>
        <color rgb="FF000000"/>
        <rFont val="Aptos Narrow"/>
        <scheme val="minor"/>
      </rPr>
      <t>Scenario 1:</t>
    </r>
    <r>
      <rPr>
        <sz val="11"/>
        <color rgb="FF000000"/>
        <rFont val="Aptos Narrow"/>
        <scheme val="minor"/>
      </rPr>
      <t xml:space="preserve"> Company found in CapIQ
Given the user enters Buyer/Target Name
And the company exists in CapIQ
When the system fetches data
Then Buyer financials and sector details should auto-populate
And user can edit these fields if needed
</t>
    </r>
    <r>
      <rPr>
        <b/>
        <sz val="11"/>
        <color rgb="FF000000"/>
        <rFont val="Aptos Narrow"/>
        <scheme val="minor"/>
      </rPr>
      <t>Scenario 2</t>
    </r>
    <r>
      <rPr>
        <sz val="11"/>
        <color rgb="FF000000"/>
        <rFont val="Aptos Narrow"/>
        <scheme val="minor"/>
      </rPr>
      <t>: Company not found in CapIQ
Given the user enters Buyer/Target Name
And the company does not exist in CapIQ
When the system attempts to fetch data
Then the system should display a message “Company not found”
And allow manual input for all fields</t>
    </r>
  </si>
  <si>
    <t>1. Auto-populate:
     Revenue, COGS, SG&amp;A.
     Sector/Sub-sector.
2. Editable fields after auto-population.
3. Display “Data fetched from CapIQ” message.
4. Manual entry enabled for all fields if data not available in CapIQ.
5. Clear message for missing data is data not available in CapIQ.</t>
  </si>
  <si>
    <t>SQL Database/Databricks for CE platform to be provisioned. CapIQ (Size of the data Adarsh to get back)</t>
  </si>
  <si>
    <t>US-013</t>
  </si>
  <si>
    <t>Deal type Auto-population</t>
  </si>
  <si>
    <t>As a user, I want the Deal Type to auto-populate based on predefined logic, So that I don’t have to manually select it.</t>
  </si>
  <si>
    <r>
      <rPr>
        <b/>
        <sz val="11"/>
        <color rgb="FF000000"/>
        <rFont val="Aptos Narrow"/>
        <scheme val="minor"/>
      </rPr>
      <t>Scenario 1:</t>
    </r>
    <r>
      <rPr>
        <sz val="11"/>
        <color rgb="FF000000"/>
        <rFont val="Aptos Narrow"/>
        <scheme val="minor"/>
      </rPr>
      <t xml:space="preserve"> Auto-populate deal type
Given the user has answered the deal-related questions
When the system evaluates responses
Then the Deal Type field should auto-populate as “Merger of Equals” or “Tuck-in/Acquisition”</t>
    </r>
  </si>
  <si>
    <t>1. Logic documented and implemented.
2. Field is read-only after auto-population.
3. If logic fails, default to “Tuck-in/Acquisition” and display warning.</t>
  </si>
  <si>
    <t>US-014</t>
  </si>
  <si>
    <t>As a user, I want the Deal Type to be automatically determined based on revenue ratio and sector match,
So that I don’t have to manually select it and the classification is consistent.</t>
  </si>
  <si>
    <t>Business Logic
If Target Revenue ≥ 75% of Buyer Revenue AND Target Sector = Buyer Sector, then Deal Type = Merger of Equals.
Else, Deal Type = Tuck-in/Acquisition.</t>
  </si>
  <si>
    <r>
      <rPr>
        <b/>
        <sz val="11"/>
        <color rgb="FF000000"/>
        <rFont val="Aptos Narrow"/>
        <scheme val="minor"/>
      </rPr>
      <t>Scenario 1:</t>
    </r>
    <r>
      <rPr>
        <sz val="11"/>
        <color rgb="FF000000"/>
        <rFont val="Aptos Narrow"/>
        <scheme val="minor"/>
      </rPr>
      <t xml:space="preserve"> Merger of Equals
Given the user has entered Buyer Revenue and Target Revenue
And the user has entered Buyer Sector and Target Sector
When Target Revenue is 75% or more of Buyer Revenue
And Target Sector is the same as Buyer Sector
Then the Deal Type should auto-populate as "Merger of Equals"
</t>
    </r>
    <r>
      <rPr>
        <b/>
        <sz val="11"/>
        <color rgb="FF000000"/>
        <rFont val="Aptos Narrow"/>
        <scheme val="minor"/>
      </rPr>
      <t>Scenario 2:</t>
    </r>
    <r>
      <rPr>
        <sz val="11"/>
        <color rgb="FF000000"/>
        <rFont val="Aptos Narrow"/>
        <scheme val="minor"/>
      </rPr>
      <t xml:space="preserve"> Tuck-in/Acquisition
Given the user has entered Buyer Revenue and Target Revenue
And the user has entered Buyer Sector and Target Sector
When Target Revenue is less than 75% of Buyer Revenue
Or Target Sector is different from Buyer Sector
Then the Deal Type should auto-populate as "Tuck-in/Acquisition"
</t>
    </r>
    <r>
      <rPr>
        <b/>
        <sz val="11"/>
        <color rgb="FF000000"/>
        <rFont val="Aptos Narrow"/>
        <scheme val="minor"/>
      </rPr>
      <t>Scenario 3:</t>
    </r>
    <r>
      <rPr>
        <sz val="11"/>
        <color rgb="FF000000"/>
        <rFont val="Aptos Narrow"/>
        <scheme val="minor"/>
      </rPr>
      <t xml:space="preserve"> Missing Data
Given the user has not entered Buyer Revenue or Target Revenue
Or Buyer Sector or Target Sector
When the system attempts to auto-populate Deal Type
Then the system should display a warning message
And default Deal Type to "Tuck-in/Acquisition"</t>
    </r>
  </si>
  <si>
    <t>1. Calculation: Target Revenue ÷ Buyer Revenue ≥ 0.75.
2. Sector comparison is case-insensitive.
3. Deal Type field becomes read-only after auto-population.
4. Display message: “Deal Type auto-populated based on revenue and sector.”
5. Any failure in revenue ratio or sector match defaults to Tuck-in/Acquisition.
6. Field remains read-only.
7. Display message: “Deal Type auto-populated based on revenue and sector.”
8. Warning message: “Insufficient data for Deal Type logic. Default applied.”
9. Field remains editable if logic cannot be applied.</t>
  </si>
  <si>
    <t>Scenario 1 and 2 -  completed, Scenario 3 to confirm</t>
  </si>
  <si>
    <t>US-015</t>
  </si>
  <si>
    <t>Project Creation (Confirm and Launch)</t>
  </si>
  <si>
    <t>Summary Screen</t>
  </si>
  <si>
    <t>As a user,  I want to view a summary of all project details entered,  So that I can verify the information before proceeding.</t>
  </si>
  <si>
    <r>
      <rPr>
        <b/>
        <sz val="11"/>
        <color rgb="FF000000"/>
        <rFont val="Aptos Narrow"/>
        <scheme val="minor"/>
      </rPr>
      <t>Scenario 1:</t>
    </r>
    <r>
      <rPr>
        <sz val="11"/>
        <color rgb="FF000000"/>
        <rFont val="Aptos Narrow"/>
        <scheme val="minor"/>
      </rPr>
      <t xml:space="preserve"> Display all entered details
Given the user has completed the project details form
When the user navigates to the Summary Screen
Then the system should display all entered details grouped by sections
And allow the user to review them
</t>
    </r>
  </si>
  <si>
    <t>1. Sections displayed:
         General Info (Project Name, Description, Legal      Hold, Engagement Partner, CIC Clause).
         Buyer Details.
         Target Details.
          Analysis Toggles and related fields.
2. All fields show the latest saved values.
3. Read-only mode for summary (no editing here).
4. Option to go back and edit details.</t>
  </si>
  <si>
    <t>UI (FE)</t>
  </si>
  <si>
    <t>US-016</t>
  </si>
  <si>
    <t>Summary Screen Actions: display summary screen</t>
  </si>
  <si>
    <t>As a user, I want to view all entered details and required next steps, So that I can verify and decide the next action.</t>
  </si>
  <si>
    <r>
      <rPr>
        <b/>
        <sz val="11"/>
        <color rgb="FF000000"/>
        <rFont val="Aptos Narrow"/>
      </rPr>
      <t xml:space="preserve">
Scenario:</t>
    </r>
    <r>
      <rPr>
        <sz val="11"/>
        <color rgb="FF000000"/>
        <rFont val="Aptos Narrow"/>
      </rPr>
      <t xml:space="preserve"> Summary screen loads successfully
Given the user has completed the project details form
When the user navigates to the Summary Screen
Then the system should display:
  - All entered details grouped by sections
  - Required next steps based on selected analyses
  - Action buttons: Save &amp; Continue, Save as Draft, Cancel</t>
    </r>
  </si>
  <si>
    <t>1. Summary screen shows:
         General Info, Buyer Details, Target Details, Analysis Toggles.
         Required files list (Census Data, PO Data, Facility Logs based on toggles).
2. Action buttons visible and enabled:
         Save &amp; Continue → Saves data and moves to next step.
         Save as Draft → Saves data without proceeding.
         Cancel → Discards unsaved changes and returns to home screen.
3. Confirmation prompt for Cancel action.</t>
  </si>
  <si>
    <t>US-017</t>
  </si>
  <si>
    <t>Summary Screen Actions: Save and Continue</t>
  </si>
  <si>
    <t>As a user, I want to save all entered details and proceed to the next step, So that I can complete the workflow without losing data.</t>
  </si>
  <si>
    <r>
      <rPr>
        <b/>
        <sz val="11"/>
        <color rgb="FF000000"/>
        <rFont val="Aptos Narrow"/>
      </rPr>
      <t>Scenario</t>
    </r>
    <r>
      <rPr>
        <sz val="11"/>
        <color rgb="FF000000"/>
        <rFont val="Aptos Narrow"/>
      </rPr>
      <t>: Save &amp; Continue clicked
Given the user is on the Summary Screen
When the user clicks "Save &amp; Continue"
Then the system should validate all mandatory fields and uploads
And save the project details
And navigate to the next step</t>
    </r>
  </si>
  <si>
    <t>1. Validation:
           All required fields completed.
          All mandatory files uploaded.
2. If validation fails:
          Display error message and highlight missing items.
3. If validation passes:
          Save data to database.
          Navigate to next step (e.g., confirmation or dashboard).</t>
  </si>
  <si>
    <t>US-018</t>
  </si>
  <si>
    <t>Summary Screen Actions: Save as draft</t>
  </si>
  <si>
    <t>As a user, I want to save the project as a draft without completing uploads, So that I can resume later.</t>
  </si>
  <si>
    <r>
      <rPr>
        <b/>
        <sz val="11"/>
        <color rgb="FF000000"/>
        <rFont val="Aptos Narrow"/>
        <scheme val="minor"/>
      </rPr>
      <t>Scenario:</t>
    </r>
    <r>
      <rPr>
        <sz val="11"/>
        <color rgb="FF000000"/>
        <rFont val="Aptos Narrow"/>
        <scheme val="minor"/>
      </rPr>
      <t xml:space="preserve"> Save as Draft clicked
Given the user is on the Summary Screen
When the user clicks "Save as Draft"
Then the system should save all entered details
And mark the project status as "Draft"
And return to the dashboard</t>
    </r>
  </si>
  <si>
    <t>1. No validation for mandatory uploads.
2. Save all entered data.
3. Status = Draft.
4. Display success message: “Project saved as draft.”</t>
  </si>
  <si>
    <t>US-019</t>
  </si>
  <si>
    <t>Summary Screen Actions: Cancel</t>
  </si>
  <si>
    <t>As a user, I want to cancel the process and return to the home screen, So that I can exit without saving changes.</t>
  </si>
  <si>
    <r>
      <rPr>
        <b/>
        <sz val="11"/>
        <color rgb="FF000000"/>
        <rFont val="Aptos Narrow"/>
        <scheme val="minor"/>
      </rPr>
      <t>Scenario:</t>
    </r>
    <r>
      <rPr>
        <sz val="11"/>
        <color rgb="FF000000"/>
        <rFont val="Aptos Narrow"/>
        <scheme val="minor"/>
      </rPr>
      <t xml:space="preserve"> Cancel clicked
Given the user is on the Summary Screen
When the user clicks "Cancel"
Then the system should display a confirmation prompt
And if the user confirms
Then discard unsaved changes
And return to the home screen</t>
    </r>
  </si>
  <si>
    <t>1. Confirmation prompt: “Are you sure you want to cancel? Unsaved changes will be lost.”
2. If confirmed → Discard changes and navigate home.
3. If declined → Stay on Summary Screen.</t>
  </si>
  <si>
    <t>US-020</t>
  </si>
  <si>
    <t>Project Creation (Section Navigation)</t>
  </si>
  <si>
    <t>Navigation between Analysis Tab: Provide Navigation Links</t>
  </si>
  <si>
    <t>As a user, I want to see navigation links for Census, Spend analyses in order, So that I can move through the workflow based on selected analyses and data availability.</t>
  </si>
  <si>
    <t>Scenario 1: Display navigation links
Given the user is on the Summary Screen
When the system loads navigation options
Then the system should display links for:
  - Tab 2a: Census Analysis
  - Tab 2b: Spend Analysis
   - Tab 3: Outputs
And the links should be ordered as Census → Spend → Real Estate → Outputs</t>
  </si>
  <si>
    <t>1. Links visible in correct order.
2. Links enabled only if analysis type was selected.
3. Disabled links show tooltip: “selection missing.”</t>
  </si>
  <si>
    <t>US-021</t>
  </si>
  <si>
    <t>Navigation between Analysis Tab: Navigate to Census Analysis</t>
  </si>
  <si>
    <t>As a user, I want to move to Census Analysis if HC analysis is selected, So that I can perform HC-related analysis.</t>
  </si>
  <si>
    <r>
      <rPr>
        <b/>
        <sz val="11"/>
        <color rgb="FF000000"/>
        <rFont val="Aptos Narrow"/>
      </rPr>
      <t xml:space="preserve">Scenario 1: </t>
    </r>
    <r>
      <rPr>
        <sz val="11"/>
        <color rgb="FF000000"/>
        <rFont val="Aptos Narrow"/>
      </rPr>
      <t xml:space="preserve">HC analysis applicable
Given the user selected HC analysis
When the user clicks "Census Analysis"
Then the system should navigate to Tab 2a
</t>
    </r>
    <r>
      <rPr>
        <b/>
        <sz val="11"/>
        <color rgb="FF000000"/>
        <rFont val="Aptos Narrow"/>
      </rPr>
      <t>Scenario 2:</t>
    </r>
    <r>
      <rPr>
        <sz val="11"/>
        <color rgb="FF000000"/>
        <rFont val="Aptos Narrow"/>
      </rPr>
      <t xml:space="preserve"> HC analysis not applicable
Given the user did not select HC analysis
When the user clicks "Census Analysis"
Then the system should skip Tab 2a
And move to the next applicable step</t>
    </r>
  </si>
  <si>
    <t>1. Navigation occurs only if HC toggle = ON 
2. If condition not met: Display error: “HC analysis not applicable.”
3. Do not navigate.
4. System auto-skips to Spend Analysis if HC not selected.
5. No error message shown; smooth transition.</t>
  </si>
  <si>
    <t>US-022</t>
  </si>
  <si>
    <t>Navigation between Analysis Tab: Navigate to Spend Analysis</t>
  </si>
  <si>
    <t>As a user, I want to move to Spend Analysis if Spend analysis is selected, So that I can perform Non-HC-related analysis.</t>
  </si>
  <si>
    <r>
      <rPr>
        <b/>
        <sz val="11"/>
        <color rgb="FF000000"/>
        <rFont val="Aptos Narrow"/>
        <scheme val="minor"/>
      </rPr>
      <t xml:space="preserve">Scenario: </t>
    </r>
    <r>
      <rPr>
        <sz val="11"/>
        <color rgb="FF000000"/>
        <rFont val="Aptos Narrow"/>
        <scheme val="minor"/>
      </rPr>
      <t>Given the user selected Non-HC analysis
When the user clicks "Spend Analysis"
Then navigate to Tab 2b
Else skip to next applicable step</t>
    </r>
  </si>
  <si>
    <t>1. Navigation occurs only if non-HC toggle = ON 
2. If condition not met: Display error: “non-HC analysis not applicable.”
3. Do not navigate.
4. System auto-skips to Consolidated outputAnalysis if HC not selected.
5. No error message shown; smooth transition.</t>
  </si>
  <si>
    <t>US-023</t>
  </si>
  <si>
    <t>Navigation between Analysis Tab: Navigate to Consolidated output</t>
  </si>
  <si>
    <t>As a user, I want to move to Consolidated output if all the applicable analysis is completed, So that I can get the consolidated output.</t>
  </si>
  <si>
    <r>
      <rPr>
        <b/>
        <sz val="11"/>
        <color rgb="FF000000"/>
        <rFont val="Aptos Narrow"/>
        <scheme val="minor"/>
      </rPr>
      <t>Scenario:</t>
    </r>
    <r>
      <rPr>
        <sz val="11"/>
        <color rgb="FF000000"/>
        <rFont val="Aptos Narrow"/>
        <scheme val="minor"/>
      </rPr>
      <t xml:space="preserve"> Given the user has completed all applicable analyses
When the user clicks "Outputs"
Then the system should display results from all performed analyses</t>
    </r>
  </si>
  <si>
    <t>1. Tab 3 always accessible after completing or skipping previous steps.
2. Displays consolidated outputs.</t>
  </si>
  <si>
    <t xml:space="preserve">Census </t>
  </si>
  <si>
    <t>US-024</t>
  </si>
  <si>
    <t xml:space="preserve">HC Analysis </t>
  </si>
  <si>
    <t>Census</t>
  </si>
  <si>
    <t>File Upload for HC Analysis</t>
  </si>
  <si>
    <t>As a user, I want to upload Census data files for Buyer and Target with clear instructions and validation, So that I can perform HC analysis accurately.</t>
  </si>
  <si>
    <r>
      <rPr>
        <b/>
        <sz val="11"/>
        <color rgb="FF000000"/>
        <rFont val="Aptos Narrow"/>
        <scheme val="minor"/>
      </rPr>
      <t>Scenario 1</t>
    </r>
    <r>
      <rPr>
        <sz val="11"/>
        <color rgb="FF000000"/>
        <rFont val="Aptos Narrow"/>
        <scheme val="minor"/>
      </rPr>
      <t xml:space="preserve">: Display upload prompt for Census
Given HC analysis is selected
When the Census Analysis tab loads
Then the system should prompt the user to upload Buyer Census and Target Census files
And display:
  - Instructions for required fields
  - Sample template link
  - Note that files must be Excel format
</t>
    </r>
    <r>
      <rPr>
        <b/>
        <sz val="11"/>
        <color rgb="FF000000"/>
        <rFont val="Aptos Narrow"/>
        <scheme val="minor"/>
      </rPr>
      <t>Scenario 2:</t>
    </r>
    <r>
      <rPr>
        <sz val="11"/>
        <color rgb="FF000000"/>
        <rFont val="Aptos Narrow"/>
        <scheme val="minor"/>
      </rPr>
      <t xml:space="preserve"> Validate Census file
Given the user uploads a Census file
When the system processes the file
Then the system should check for missing mandatory fields in any row
And if missing fields exist
Then mark status as "Needs Review"
And display a message prompting the user to update or override
</t>
    </r>
    <r>
      <rPr>
        <b/>
        <sz val="11"/>
        <color rgb="FF000000"/>
        <rFont val="Aptos Narrow"/>
        <scheme val="minor"/>
      </rPr>
      <t>Scenario 3</t>
    </r>
    <r>
      <rPr>
        <sz val="11"/>
        <color rgb="FF000000"/>
        <rFont val="Aptos Narrow"/>
        <scheme val="minor"/>
      </rPr>
      <t>: Merger vs Tuck-in logic for Census
Given the deal type is Merger of Equals
When uploading Census files
Then both Buyer and Target files are mandatory
Else if deal type is Tuck-in/Acquisition
Then Target file is mandatory and Buyer file is optional</t>
    </r>
  </si>
  <si>
    <t xml:space="preserve">1. Required fields: Employee ID, Job Title, Job Description, Function, Sub-Function, Cost Center, Address, Job Office City, Fully Loaded Cost, Currency, Employee Type.
2. Instructions include:
             “Ensure all mandatory fields are filled.”
              “File must be in .xls or .xlsx format.”
3. Sample template downloadable.
4. Status indicators: Missing, Uploaded, Needs Review.
5. Missing mandatory fields → Needs Review.
6. Display message: “Some rows have missing data. Update file or override to proceed.”
7. Override option available with confirmation.
8. Validation enforced based on deal type.
9. Error message if mandatory file missing: “You must upload Target Census.xlsx before proceeding. Click here for a template.”
10. Merger of Equals → Both Buyer and Target data mandatory.
11. Tuck-in/Acquisition → Target data mandatory; Buyer optional.
12. If required entity data missing → Error message:
“Target data is mandatory for Tuck-in/Acquisition. Please upload complete file.”
</t>
  </si>
  <si>
    <t>US-025</t>
  </si>
  <si>
    <t>HC Analysis</t>
  </si>
  <si>
    <t>File Upload for analysis: Upload Buyer Census file</t>
  </si>
  <si>
    <t>As a user, I want to upload the Buyer census file So that I can provide Buyer data for HC analysis.</t>
  </si>
  <si>
    <r>
      <rPr>
        <b/>
        <sz val="11"/>
        <color rgb="FF000000"/>
        <rFont val="Aptos Narrow"/>
        <scheme val="minor"/>
      </rPr>
      <t>Scenario 1:</t>
    </r>
    <r>
      <rPr>
        <sz val="11"/>
        <color rgb="FF000000"/>
        <rFont val="Aptos Narrow"/>
        <scheme val="minor"/>
      </rPr>
      <t xml:space="preserve"> Successfully upload Buyer Census file
    Given HC analysis is selected
    When the user uploads Buyer Census file in .xlsx format
    Then the system should accept the file
    And display status as "Uploaded"
 </t>
    </r>
    <r>
      <rPr>
        <b/>
        <sz val="11"/>
        <color rgb="FF000000"/>
        <rFont val="Aptos Narrow"/>
        <scheme val="minor"/>
      </rPr>
      <t xml:space="preserve"> Scenario 2:</t>
    </r>
    <r>
      <rPr>
        <sz val="11"/>
        <color rgb="FF000000"/>
        <rFont val="Aptos Narrow"/>
        <scheme val="minor"/>
      </rPr>
      <t xml:space="preserve"> File missing mandatory columns
    Given the user uploads Buyer Census file
    When mandatory columns are missing
    Then the system should reject the file
    And display error message "Missing required columns: Employee ID, Job Title, etc."
</t>
    </r>
    <r>
      <rPr>
        <b/>
        <sz val="11"/>
        <color rgb="FF000000"/>
        <rFont val="Aptos Narrow"/>
        <scheme val="minor"/>
      </rPr>
      <t xml:space="preserve">  Scenario 3: </t>
    </r>
    <r>
      <rPr>
        <sz val="11"/>
        <color rgb="FF000000"/>
        <rFont val="Aptos Narrow"/>
        <scheme val="minor"/>
      </rPr>
      <t xml:space="preserve">Large file upload with chunking
    Given the Buyer Census file has more than 100k rows
    When the system processes the upload
    Then the file should be split into chunks
    And each chunk verified using checksum
</t>
    </r>
    <r>
      <rPr>
        <b/>
        <sz val="11"/>
        <color rgb="FF000000"/>
        <rFont val="Aptos Narrow"/>
        <scheme val="minor"/>
      </rPr>
      <t>Scenario 4</t>
    </r>
    <r>
      <rPr>
        <sz val="11"/>
        <color rgb="FF000000"/>
        <rFont val="Aptos Narrow"/>
        <scheme val="minor"/>
      </rPr>
      <t>: Missing entity data for deal type
    Given deal type is Merger of equal
    And Buyer file is missing
    When the system validates consolidation
    Then display error "Buyer data is mandatory for Merger of equal"</t>
    </r>
  </si>
  <si>
    <t>1. File format must be .xls or .xlsx.
2. Mandatory columns:Employee ID, Job Title, Job Description, Function, Sub-Function, Cost Center, Address, Job Office City, Fully Loaded Cost, Currency, Employee Type.
3. Status indicators: Missing, Uploaded, Needs Review.
4. Chunked upload for large files with checksum validation.
5. Uploading Buyer file not mandatory for Tuck in deal type
6. If the deal type is merger of equals then uploading buyer file is mandatory</t>
  </si>
  <si>
    <t>US-026</t>
  </si>
  <si>
    <t>File Upload for analysis: Upload Target Census file</t>
  </si>
  <si>
    <t>As a user, I want to upload the Target census file 
So that I can provide Target data for HC analysis.</t>
  </si>
  <si>
    <r>
      <rPr>
        <b/>
        <sz val="11"/>
        <color rgb="FF000000"/>
        <rFont val="Aptos Narrow"/>
        <scheme val="minor"/>
      </rPr>
      <t>Scenario 1</t>
    </r>
    <r>
      <rPr>
        <sz val="11"/>
        <color rgb="FF000000"/>
        <rFont val="Aptos Narrow"/>
        <scheme val="minor"/>
      </rPr>
      <t xml:space="preserve">: Successfully upload Target Census file
    Given HC analysis is selected
    When the user uploads Target Census file in .xlsx format
    Then the system should accept the file
    And display status as "Uploaded"
 </t>
    </r>
    <r>
      <rPr>
        <b/>
        <sz val="11"/>
        <color rgb="FF000000"/>
        <rFont val="Aptos Narrow"/>
        <scheme val="minor"/>
      </rPr>
      <t xml:space="preserve">Scenario 2: </t>
    </r>
    <r>
      <rPr>
        <sz val="11"/>
        <color rgb="FF000000"/>
        <rFont val="Aptos Narrow"/>
        <scheme val="minor"/>
      </rPr>
      <t xml:space="preserve">File missing mandatory columns
    Given the user uploads Buyer Census file
    When mandatory columns are missing
    Then the system should reject the file
    And display error message "Missing required columns: Employee ID, Job Title, etc."
</t>
    </r>
    <r>
      <rPr>
        <b/>
        <sz val="11"/>
        <color rgb="FF000000"/>
        <rFont val="Aptos Narrow"/>
        <scheme val="minor"/>
      </rPr>
      <t xml:space="preserve">  Scenario 3</t>
    </r>
    <r>
      <rPr>
        <sz val="11"/>
        <color rgb="FF000000"/>
        <rFont val="Aptos Narrow"/>
        <scheme val="minor"/>
      </rPr>
      <t xml:space="preserve">: Large file upload with chunking
    Given the Buyer Census file has more than 100k rows
    When the system processes the upload
    Then the file should be split into chunks
    And each chunk verified using checksum
  </t>
    </r>
    <r>
      <rPr>
        <b/>
        <sz val="11"/>
        <color rgb="FF000000"/>
        <rFont val="Aptos Narrow"/>
        <scheme val="minor"/>
      </rPr>
      <t>Scenario 4</t>
    </r>
    <r>
      <rPr>
        <sz val="11"/>
        <color rgb="FF000000"/>
        <rFont val="Aptos Narrow"/>
        <scheme val="minor"/>
      </rPr>
      <t xml:space="preserve">: Target file missing
    Given HC analysis is selected
    And Target Census file is not uploaded
    When the user clicks "Save &amp; Continue"
    Then the system should display error "Target Census file is mandatory"
</t>
    </r>
    <r>
      <rPr>
        <b/>
        <sz val="11"/>
        <color rgb="FF000000"/>
        <rFont val="Aptos Narrow"/>
        <scheme val="minor"/>
      </rPr>
      <t xml:space="preserve"> Scenario 5: </t>
    </r>
    <r>
      <rPr>
        <sz val="11"/>
        <color rgb="FF000000"/>
        <rFont val="Aptos Narrow"/>
        <scheme val="minor"/>
      </rPr>
      <t>Missing entity data for deal type
    Given deal type is Tuck-in/Acquisition
    And Target file is missing
    When the system validates consolidation
    Then display error "Target data is mandatory for Tuck-in/Acquisition"</t>
    </r>
  </si>
  <si>
    <t>1. File format must be .xls or .xlsx.
2. Mandatory columns:Employee ID, Job Title, Job Description, Function, Sub-Function, Cost Center, Address, Job Office City, Fully Loaded Cost, Currency, Employee Type.
3. Status indicators: Missing, Uploaded, Needs Review.
4. Chunked upload for large files with checksum validation.
5. Mandatory for all deal types.
6. Status indicators and chunked upload logic apply.</t>
  </si>
  <si>
    <t>US-027</t>
  </si>
  <si>
    <t>File Upload for analysis: Validate Mandatory fields</t>
  </si>
  <si>
    <t>As a system, I want to check for missing mandatory fields in the  dataset So that I can ensure data completeness before ingestion.</t>
  </si>
  <si>
    <r>
      <rPr>
        <b/>
        <sz val="11"/>
        <color rgb="FF000000"/>
        <rFont val="Aptos Narrow"/>
        <scheme val="minor"/>
      </rPr>
      <t xml:space="preserve"> Scenario 1: </t>
    </r>
    <r>
      <rPr>
        <sz val="11"/>
        <color rgb="FF000000"/>
        <rFont val="Aptos Narrow"/>
        <scheme val="minor"/>
      </rPr>
      <t xml:space="preserve">All mandatory fields present
    Given the merged dataset is created
    When the system validates the file
    Then status should be "Uploaded"
    And no errors displayed
  </t>
    </r>
    <r>
      <rPr>
        <b/>
        <sz val="11"/>
        <color rgb="FF000000"/>
        <rFont val="Aptos Narrow"/>
        <scheme val="minor"/>
      </rPr>
      <t xml:space="preserve">Scenario 2: </t>
    </r>
    <r>
      <rPr>
        <sz val="11"/>
        <color rgb="FF000000"/>
        <rFont val="Aptos Narrow"/>
        <scheme val="minor"/>
      </rPr>
      <t>Missing mandatory fields
    Given the merged dataset has rows with blank Employee ID
    When the system validates the file
    Then status should be "Needs Review"
    And display message "Some rows have missing data. Update file or override to proceed"</t>
    </r>
  </si>
  <si>
    <t>1. Missing mandatory fields → Status = Needs Review.
2. Display message: “Some rows have missing data. Update file or override to proceed.”
3. Override option available with confirmation and audit logging.</t>
  </si>
  <si>
    <t>US-028</t>
  </si>
  <si>
    <t>File Upload for analysis: Consolidated Buyer and target files</t>
  </si>
  <si>
    <t>As a system, I want to merge Buyer and Target census files into a single dataset So that I can prepare data for ingestion and analysis.</t>
  </si>
  <si>
    <r>
      <rPr>
        <b/>
        <sz val="11"/>
        <color rgb="FF000000"/>
        <rFont val="Aptos Narrow"/>
        <scheme val="minor"/>
      </rPr>
      <t xml:space="preserve"> Scenario 1:</t>
    </r>
    <r>
      <rPr>
        <sz val="11"/>
        <color rgb="FF000000"/>
        <rFont val="Aptos Narrow"/>
        <scheme val="minor"/>
      </rPr>
      <t xml:space="preserve"> Merge Buyer and Target files successfully
    Given Buyer and Target Census files are uploaded
     And deal type is Merger of Equals
    When the system consolidates the files
    Then the merged dataset should include an "Entity Type" column
    And rows tagged as Buyer or Target correctly
 </t>
    </r>
    <r>
      <rPr>
        <b/>
        <sz val="11"/>
        <color rgb="FF000000"/>
        <rFont val="Aptos Narrow"/>
        <scheme val="minor"/>
      </rPr>
      <t>Scenario 2:</t>
    </r>
    <r>
      <rPr>
        <sz val="11"/>
        <color rgb="FF000000"/>
        <rFont val="Aptos Narrow"/>
        <scheme val="minor"/>
      </rPr>
      <t xml:space="preserve"> Merge Buyer and Target files successfully
    Given Buyer and Target Census files are uploaded
     When deal type is Tuck-in/Acquisition
     Then the System should not consolidate the buyer and target files</t>
    </r>
  </si>
  <si>
    <t>1. Buyer and Target consolidated to one file if the deal type is Merger of Equals
2. Add Entity Type column (Buyer/Target).
Validate presence of required entities:
3. Merger of Equals → Both Buyer and Target required.
Tuck-in/Acquisition → Target required; Buyer optional.
4. Error message if required entity missing:
“Target data is mandatory for Tuck-in/Acquisition.”
5. If the deal type is Tuck-in the buyer and target data should not be consolidated.</t>
  </si>
  <si>
    <t>US-029</t>
  </si>
  <si>
    <t>File Upload for analysis: Handle large file uploads</t>
  </si>
  <si>
    <t>As a system, I want to support chunked uploads and integrity checks for large files
So that I can ensure reliable upload of up to 300k rows.</t>
  </si>
  <si>
    <r>
      <rPr>
        <b/>
        <sz val="11"/>
        <color rgb="FF000000"/>
        <rFont val="Aptos Narrow"/>
        <scheme val="minor"/>
      </rPr>
      <t xml:space="preserve"> Scenario 1:</t>
    </r>
    <r>
      <rPr>
        <sz val="11"/>
        <color rgb="FF000000"/>
        <rFont val="Aptos Narrow"/>
        <scheme val="minor"/>
      </rPr>
      <t xml:space="preserve"> Upload large file successfully
    Given the Buyer Census file has 300k rows
    When the system processes the upload
    Then the file should be split into chunks
    And each chunk verified using checksum
    And upload completes successfully
</t>
    </r>
    <r>
      <rPr>
        <b/>
        <sz val="11"/>
        <color rgb="FF000000"/>
        <rFont val="Aptos Narrow"/>
        <scheme val="minor"/>
      </rPr>
      <t xml:space="preserve">  Scenario 2:</t>
    </r>
    <r>
      <rPr>
        <sz val="11"/>
        <color rgb="FF000000"/>
        <rFont val="Aptos Narrow"/>
        <scheme val="minor"/>
      </rPr>
      <t xml:space="preserve"> Checksum mismatch detected
    Given the system processes chunked upload
    When checksum validation fails for a chunk
    Then display error "Upload failed due to integrity check. Please retry"</t>
    </r>
  </si>
  <si>
    <t>1. Chunk size configurable (300K rows).
2. Checksum validation for each chunk.
3. Upload fails if checksum mismatch detected.
4. Display error:
“Upload failed due to integrity check. Please retry.”</t>
  </si>
  <si>
    <t>US-030</t>
  </si>
  <si>
    <t>File Upload for analysis: Display control totals</t>
  </si>
  <si>
    <t>As a user, I want to see control totals after validation
So that I can verify data consistency before proceeding.</t>
  </si>
  <si>
    <r>
      <rPr>
        <b/>
        <sz val="11"/>
        <color rgb="FF000000"/>
        <rFont val="Aptos Narrow"/>
        <scheme val="minor"/>
      </rPr>
      <t xml:space="preserve"> Scenario</t>
    </r>
    <r>
      <rPr>
        <sz val="11"/>
        <color rgb="FF000000"/>
        <rFont val="Aptos Narrow"/>
        <scheme val="minor"/>
      </rPr>
      <t>: Show totals after successful validation
    Given the merged dataset is validated
    When the system completes processing
    Then display total number of employees and total fully loaded cost
    And group totals by Buyer and Target</t>
    </r>
  </si>
  <si>
    <t>1. Display:
      Total number of employees.
      Total fully loaded cost.
2. Grouped by Buyer and Target.
3. Highlight discrepancies if totals differ significantly from expected values.</t>
  </si>
  <si>
    <t>US-031</t>
  </si>
  <si>
    <t>Align Census fields to EY L1 Taxonomy</t>
  </si>
  <si>
    <t>Census (old)</t>
  </si>
  <si>
    <t>Review census file fields for EY L1 taxonomy mapping</t>
  </si>
  <si>
    <t>As a user, I want to review all fields in the client-provided census file so that I can identify the field that most closely corresponds to EY L1 taxonomy.</t>
  </si>
  <si>
    <r>
      <rPr>
        <b/>
        <sz val="11"/>
        <color rgb="FF000000"/>
        <rFont val="Aptos Narrow"/>
        <scheme val="minor"/>
      </rPr>
      <t>Scenario:</t>
    </r>
    <r>
      <rPr>
        <sz val="11"/>
        <color rgb="FF000000"/>
        <rFont val="Aptos Narrow"/>
        <scheme val="minor"/>
      </rPr>
      <t xml:space="preserve"> Successfully load and review census file fields
    Given a client-provided census file is available in the system
    When I open the file for review
    Then I should see all available fields (e.g., Function, Sub function, Cost Center, etc.)
    And I should be able to compare them against EY L1 taxonomy definitions</t>
    </r>
  </si>
  <si>
    <t>1. The system must allow uploading or accessing the client census file.
2. All fields in the file must be displayed clearly for review.
3. EY L1 taxonomy definitions must be accessible for comparison.
4. The analyst can mark or select the field that corresponds most closely to EY L1 taxonomy.
5. If no matching field exists, the analyst can flag it as “No Match”.
6. If the file is missing expected fields (e.g., Function), the system should display a warning.
7.If the file contains duplicate field names, the system should allow differentiation.</t>
  </si>
  <si>
    <t>US-032</t>
  </si>
  <si>
    <t>Validate field mapping to EY L1 taxonomy</t>
  </si>
  <si>
    <t>As a User, I want to validate the selected field mapping so that the mapping is accurate and consistent with EY L1 taxonomy.</t>
  </si>
  <si>
    <r>
      <rPr>
        <b/>
        <sz val="11"/>
        <color rgb="FF000000"/>
        <rFont val="Aptos Narrow"/>
        <scheme val="minor"/>
      </rPr>
      <t xml:space="preserve">Scenario: </t>
    </r>
    <r>
      <rPr>
        <sz val="11"/>
        <color rgb="FF000000"/>
        <rFont val="Aptos Narrow"/>
        <scheme val="minor"/>
      </rPr>
      <t>Validate selected field mapping
    Given I have selected a field that corresponds to EY L1 taxonomy
    When I confirm the mapping
    Then the system should validate that the selected field exists in the census file
    And the mapping should be stored for reporting</t>
    </r>
  </si>
  <si>
    <t>1. The system must confirm the selected field exists in the census file.
2. The mapping must be saved in a structured format (e.g., JSON or database).
3. If multiple fields partially match EY L1 taxonomy, the system should allow ranking or comments.
4. If the selected field is empty or contains invalid data, the system should prompt for</t>
  </si>
  <si>
    <t>US-033</t>
  </si>
  <si>
    <t>Store Client Function Taxonomy (EY L1 Equivalent)</t>
  </si>
  <si>
    <t>Store client function taxonomy</t>
  </si>
  <si>
    <t>As a user, I want to store the client function taxonomy (EY L1 equivalent) so that it can be referenced consistently across processes.</t>
  </si>
  <si>
    <r>
      <rPr>
        <b/>
        <sz val="11"/>
        <color rgb="FF000000"/>
        <rFont val="Aptos Narrow"/>
        <scheme val="minor"/>
      </rPr>
      <t xml:space="preserve"> Scenario</t>
    </r>
    <r>
      <rPr>
        <sz val="11"/>
        <color rgb="FF000000"/>
        <rFont val="Aptos Narrow"/>
        <scheme val="minor"/>
      </rPr>
      <t>: Successfully store client function taxonomy
    Given I have identified the client function equivalent to EY L1 taxonomy
    When I save the client function taxonomy in the system
    Then the system should store the taxonomy set as "client function"
    And it should be retrievable for future mapping and reporting</t>
    </r>
  </si>
  <si>
    <t>1. The system must allow saving a set of client functions mapped to EY L1 taxonomy.
2. The stored taxonomy must be labeled as “client function”.
3. The taxonomy must be retrievable for use in other processes (e.g., mapping, reporting).
4. If the taxonomy set is empty, the system should prevent saving and display an error.
5. If duplicate entries exist in the taxonomy, the system should allow saving but flag duplicates for review.
6. If the taxonomy contains invalid characters or exceeds length limits, the system should validate and prompt correction.</t>
  </si>
  <si>
    <t>US-034</t>
  </si>
  <si>
    <t>Update client function taxonomy</t>
  </si>
  <si>
    <t>As a user, I want to update the stored client function taxonomy so that changes in client data or EY taxonomy can be reflected.</t>
  </si>
  <si>
    <r>
      <rPr>
        <b/>
        <sz val="11"/>
        <color rgb="FF000000"/>
        <rFont val="Aptos Narrow"/>
        <scheme val="minor"/>
      </rPr>
      <t>Scenario:</t>
    </r>
    <r>
      <rPr>
        <sz val="11"/>
        <color rgb="FF000000"/>
        <rFont val="Aptos Narrow"/>
        <scheme val="minor"/>
      </rPr>
      <t xml:space="preserve"> Successfully update client function taxonomy
    Given a client function taxonomy set is already stored
    When I modify the taxonomy entries
    Then the system should update the stored taxonomy
    And maintain version history for audit purposes</t>
    </r>
  </si>
  <si>
    <t>1. The system must allow editing existing taxonomy entries.
2. Updates must be saved and overwrite previous values.
3. Version history must be maintained for audit and rollback.
4.  If an update removes all entries, the system should prompt confirmation before saving.
5. If multiple users attempt to update simultaneously, the system should handle concurrency (e.g., lock or merge changes).</t>
  </si>
  <si>
    <t>US-035</t>
  </si>
  <si>
    <t>Identify Employee unique identifier</t>
  </si>
  <si>
    <t>Identify Existing Unique employee Identifier</t>
  </si>
  <si>
    <t xml:space="preserve">As a user, I want to review fields in the client census file to identify an existing unique identifier so that each employee can be referenced consistently throughout the process.
</t>
  </si>
  <si>
    <r>
      <rPr>
        <b/>
        <sz val="11"/>
        <color rgb="FF000000"/>
        <rFont val="Aptos Narrow"/>
        <scheme val="minor"/>
      </rPr>
      <t>Scenario 1:</t>
    </r>
    <r>
      <rPr>
        <sz val="11"/>
        <color rgb="FF000000"/>
        <rFont val="Aptos Narrow"/>
        <scheme val="minor"/>
      </rPr>
      <t xml:space="preserve"> Field exists and is valid
  Given the census file contains a field named "Employee ID"
  And all values in this field are unique and non-null
  When I select this field as the unique identifier
  Then the system should accept the selection
  And confirm the identifier is valid
</t>
    </r>
    <r>
      <rPr>
        <b/>
        <sz val="11"/>
        <color rgb="FF000000"/>
        <rFont val="Aptos Narrow"/>
        <scheme val="minor"/>
      </rPr>
      <t>Scenario 2:</t>
    </r>
    <r>
      <rPr>
        <sz val="11"/>
        <color rgb="FF000000"/>
        <rFont val="Aptos Narrow"/>
        <scheme val="minor"/>
      </rPr>
      <t xml:space="preserve"> Field exists but contains duplicates
  Given the census file contains a field named "Employee ID"
  And some values in this field are duplicated
  When I attempt to select this field as the unique identifier
  Then the system should reject the selection
  And display an error message indicating duplicates
</t>
    </r>
    <r>
      <rPr>
        <b/>
        <sz val="11"/>
        <color rgb="FF000000"/>
        <rFont val="Aptos Narrow"/>
        <scheme val="minor"/>
      </rPr>
      <t>Scenario 3:</t>
    </r>
    <r>
      <rPr>
        <sz val="11"/>
        <color rgb="FF000000"/>
        <rFont val="Aptos Narrow"/>
        <scheme val="minor"/>
      </rPr>
      <t xml:space="preserve"> Field exists but contains null values
  Given the census file contains a field named "Employee ID"
  And some values in this field are null or empty
  When I attempt to select this field as the unique identifier
  Then the system should reject the selection
  And prompt me to choose another field or generate an identifier
</t>
    </r>
    <r>
      <rPr>
        <b/>
        <sz val="11"/>
        <color rgb="FF000000"/>
        <rFont val="Aptos Narrow"/>
        <scheme val="minor"/>
      </rPr>
      <t>Scenario 4:</t>
    </r>
    <r>
      <rPr>
        <sz val="11"/>
        <color rgb="FF000000"/>
        <rFont val="Aptos Narrow"/>
        <scheme val="minor"/>
      </rPr>
      <t xml:space="preserve"> Multiple candidate fields exist
  Given the census file contains fields "Employee ID" and "WWID"
  And both fields have unique values
  When I review the fields
  Then the system should allow me to select one as the unique identifier</t>
    </r>
  </si>
  <si>
    <t>1. The selected field must exist in the census file.
2. All values in the selected field must be unique.
3. No null or empty values in the selected field.
4. System confirms selection and marks the field as the unique identifier.
5. System must validate uniqueness before accepting the field.
6. If duplicates exist, system rejects the selection.
7. System displays an error message: “Selected field contains duplicate values. Please choose another field or generate a unique identifier.”
8. System must validate for null or empty values.
9. If nulls exist, system rejects the selection.
System displays an error message: “Selected field contains missing values. Please choose another field or generate a unique identifier.”
10. System must allow user to view all candidate fields.
11. User can select one field as the unique identifier.
12. System validates the selected field before confirming.</t>
  </si>
  <si>
    <t>US-036</t>
  </si>
  <si>
    <t>Generate Unique Identifier When None Exists</t>
  </si>
  <si>
    <t>As a user, I want to create a unique identifier if none exists so that each employee can be referenced consistently throughout the process.</t>
  </si>
  <si>
    <r>
      <rPr>
        <b/>
        <sz val="11"/>
        <color rgb="FF000000"/>
        <rFont val="Aptos Narrow"/>
        <scheme val="minor"/>
      </rPr>
      <t xml:space="preserve">Scenario 1: </t>
    </r>
    <r>
      <rPr>
        <sz val="11"/>
        <color rgb="FF000000"/>
        <rFont val="Aptos Narrow"/>
        <scheme val="minor"/>
      </rPr>
      <t xml:space="preserve">No suitable field exists
  Given the census file contains fields "Name" and "Department"
  And none of these fields have unique values
  When I request the system to generate a unique identifier
  Then the system should create a new column with unique IDs for each employee
  And ensure IDs remain constant throughout the process
</t>
    </r>
    <r>
      <rPr>
        <b/>
        <sz val="11"/>
        <color rgb="FF000000"/>
        <rFont val="Aptos Narrow"/>
        <scheme val="minor"/>
      </rPr>
      <t>Scenario  2:</t>
    </r>
    <r>
      <rPr>
        <sz val="11"/>
        <color rgb="FF000000"/>
        <rFont val="Aptos Narrow"/>
        <scheme val="minor"/>
      </rPr>
      <t xml:space="preserve"> File is very large
  Given the census file contains 1 million rows
  When I request the system to generate unique identifiers
  Then the system should generate IDs efficiently without performance degradation
</t>
    </r>
    <r>
      <rPr>
        <b/>
        <sz val="11"/>
        <color rgb="FF000000"/>
        <rFont val="Aptos Narrow"/>
        <scheme val="minor"/>
      </rPr>
      <t>Scenario 3:</t>
    </r>
    <r>
      <rPr>
        <sz val="11"/>
        <color rgb="FF000000"/>
        <rFont val="Aptos Narrow"/>
        <scheme val="minor"/>
      </rPr>
      <t xml:space="preserve"> Similar generated ID already exists
  Given the census file contains a column named "Generated_ID"
  When I request the system to create unique identifiers
  Then the system should avoid duplication and create a distinct identifier column</t>
    </r>
  </si>
  <si>
    <t>1. System must allow user to trigger ID generation.
2. System generates a unique identifier for each row (e.g., UUID or sequential ID).
3. Generated IDs must be unique and non-null.
4. Generated IDs must remain constant throughout the process.
5. System adds the new identifier column to the census file.
6. System must generate IDs without performance degradation (e.g., within acceptable time limits).
7. System must not crash or timeout during generation.
8. System checks for existing columns with similar names (e.g., “Generated_ID”).
9. If found, system creates a distinct column name (e.g., “Generated_ID_1”).
10. System ensures no duplication of values.</t>
  </si>
  <si>
    <t>US-037</t>
  </si>
  <si>
    <t>Validate Identifier Integrity</t>
  </si>
  <si>
    <t>As a user, I want to validate the uniqueness and consistency of the identifier so that it can be reliably used for mapping and reporting.</t>
  </si>
  <si>
    <r>
      <rPr>
        <b/>
        <sz val="11"/>
        <color rgb="FF000000"/>
        <rFont val="Aptos Narrow"/>
        <scheme val="minor"/>
      </rPr>
      <t>Scenario 1:</t>
    </r>
    <r>
      <rPr>
        <sz val="11"/>
        <color rgb="FF000000"/>
        <rFont val="Aptos Narrow"/>
        <scheme val="minor"/>
      </rPr>
      <t xml:space="preserve"> Validation passes
  Given the census file contains a unique identifier column
  And all values are unique and non-null
  When I run validation
  Then the system should confirm the identifier integrity
  And display a success message
</t>
    </r>
    <r>
      <rPr>
        <b/>
        <sz val="11"/>
        <color rgb="FF000000"/>
        <rFont val="Aptos Narrow"/>
        <scheme val="minor"/>
      </rPr>
      <t>Scenario 2:</t>
    </r>
    <r>
      <rPr>
        <sz val="11"/>
        <color rgb="FF000000"/>
        <rFont val="Aptos Narrow"/>
        <scheme val="minor"/>
      </rPr>
      <t xml:space="preserve"> Validation fails due to duplicates
  Given the census file contains a unique identifier column
  And some values are duplicated
  When I run validation
  Then the system should display an error message
  And prevent further processing until corrected
</t>
    </r>
    <r>
      <rPr>
        <b/>
        <sz val="11"/>
        <color rgb="FF000000"/>
        <rFont val="Aptos Narrow"/>
        <scheme val="minor"/>
      </rPr>
      <t>Scenario 3:</t>
    </r>
    <r>
      <rPr>
        <sz val="11"/>
        <color rgb="FF000000"/>
        <rFont val="Aptos Narrow"/>
        <scheme val="minor"/>
      </rPr>
      <t xml:space="preserve"> Validation fails due to null values
  Given the census file contains a unique identifier column
  And some values are null
  When I run validation
  Then the system should display an error message</t>
    </r>
  </si>
  <si>
    <t>1. All identifiers must be unique.
2. No null or empty values.
3. Identifier format must be consistent (e.g., all UUIDs or all numeric).
4. System displays success message: “Validation passed. Identifier integrity confirmed.”
5. System detects duplicate values.
6. System displays error message: “Validation failed: Duplicate identifiers found.”
7. System prevents further processing until corrected.
8. System detects null or empty values.
9. System displays error message: “Validation failed: Missing identifiers found.”
10. System prevents further processing until corrected.</t>
  </si>
  <si>
    <t>US-038</t>
  </si>
  <si>
    <t>Map Client Functions to EY Standardized Taxonomy (EY L1)</t>
  </si>
  <si>
    <t>Identify functional assignment from client census</t>
  </si>
  <si>
    <t>As a user, I want to identify individuals’ functional assignment in the client census file so that I can determine their client function for mapping to EY L1 taxonomy.</t>
  </si>
  <si>
    <r>
      <rPr>
        <b/>
        <sz val="11"/>
        <color rgb="FF000000"/>
        <rFont val="Aptos Narrow"/>
        <scheme val="minor"/>
      </rPr>
      <t>Scenario:</t>
    </r>
    <r>
      <rPr>
        <sz val="11"/>
        <color rgb="FF000000"/>
        <rFont val="Aptos Narrow"/>
        <scheme val="minor"/>
      </rPr>
      <t xml:space="preserve"> Successfully extract client function fields
    Given a client census file is available
    When I review fields such as Function, Sub function, and Cost Center
    Then I should identify the field(s) representing client function for each individual</t>
    </r>
  </si>
  <si>
    <t>1. System must display all relevant fields (Function, Sub function, Cost Center).
2. Analyst can select one or more fields that represent client function.
3. If multiple fields exist, system should allow prioritization or combination logic.
4.  If no relevant fields exist, system should prompt to upload a valid file or manually input function data.
5.  If fields contain null or inconsistent values, system should flag and allow correction.</t>
  </si>
  <si>
    <t>US-039</t>
  </si>
  <si>
    <t>Evaluate client taxonomy against EY L1</t>
  </si>
  <si>
    <t xml:space="preserve">As a user, I want to evaluate the client-provided functional taxonomy or LLM client function so that I can identify the best-fit EY L1 taxonomy level.
</t>
  </si>
  <si>
    <r>
      <rPr>
        <b/>
        <sz val="11"/>
        <color rgb="FF000000"/>
        <rFont val="Aptos Narrow"/>
        <scheme val="minor"/>
      </rPr>
      <t xml:space="preserve">Scenario: </t>
    </r>
    <r>
      <rPr>
        <sz val="11"/>
        <color rgb="FF000000"/>
        <rFont val="Aptos Narrow"/>
        <scheme val="minor"/>
      </rPr>
      <t>Successfully identify best-fit EY L1 taxonomy
    Given client function taxonomy is available
    And EY standardized taxonomy is accessible
    When I compare client functions to EY L1 taxonomy
    Then I should identify the best-fit EY L1 level for each client function</t>
    </r>
  </si>
  <si>
    <t>1. EY L1 taxonomy definitions must be accessible in the system.
2. System must allow mapping of each client function to an EY L1 equivalent.
3. If multiple EY L1 options exist, system should allow ranking or comments.
4. If no suitable EY L1 match exists, system should allow marking as “No Match” and flag for review.
5.  If client taxonomy contains duplicates or invalid entries, system should prompt correction before mapping.</t>
  </si>
  <si>
    <t>US-040</t>
  </si>
  <si>
    <t>Map individuals to EY L1 taxonomy</t>
  </si>
  <si>
    <t>As a user, I want to map individuals in the client census from client function to EY standardized function (EY L1) so that reporting aligns with EY taxonomy.</t>
  </si>
  <si>
    <r>
      <rPr>
        <b/>
        <sz val="11"/>
        <color rgb="FF000000"/>
        <rFont val="Aptos Narrow"/>
        <scheme val="minor"/>
      </rPr>
      <t>Scenario 1</t>
    </r>
    <r>
      <rPr>
        <sz val="11"/>
        <color rgb="FF000000"/>
        <rFont val="Aptos Narrow"/>
        <scheme val="minor"/>
      </rPr>
      <t xml:space="preserve">: Individual has multiple client functions
  Given an individual is assigned to "Finance" and "HR"
  When I apply mapping
  Then the system should allow multiple EY L1 assignments
  Or prompt for primary function selection
</t>
    </r>
    <r>
      <rPr>
        <b/>
        <sz val="11"/>
        <color rgb="FF000000"/>
        <rFont val="Aptos Narrow"/>
        <scheme val="minor"/>
      </rPr>
      <t>Scenario 2:</t>
    </r>
    <r>
      <rPr>
        <sz val="11"/>
        <color rgb="FF000000"/>
        <rFont val="Aptos Narrow"/>
        <scheme val="minor"/>
      </rPr>
      <t xml:space="preserve"> Individual has no client function assigned
  Given an individual record has a blank function field
  When I apply mapping
  Then the system should flag the record
  And allow manual assignment before proceeding</t>
    </r>
  </si>
  <si>
    <t>1. System must apply mapping consistently across all individuals.
 2. Output must include:
         Original client function
          Mapped EY L1 function
3. Mapping must remain constant throughout the process.
4. If an individual’s client function is unmapped, system should flag and allow manual assignment.
5.  If multiple mappings exist for the same client function, system should prompt for resolution.</t>
  </si>
  <si>
    <t>US-041</t>
  </si>
  <si>
    <t>Normalize employee type</t>
  </si>
  <si>
    <t>Evaluate client employee type taxonomy</t>
  </si>
  <si>
    <t>As a user I want to evaluate the client-provided employee type taxonomy So that I can identify the best matching EY standardized employee type for accurate mapping</t>
  </si>
  <si>
    <r>
      <rPr>
        <b/>
        <sz val="11"/>
        <color rgb="FF000000"/>
        <rFont val="Aptos Narrow"/>
        <scheme val="minor"/>
      </rPr>
      <t xml:space="preserve">Scenario 1: </t>
    </r>
    <r>
      <rPr>
        <sz val="11"/>
        <color rgb="FF000000"/>
        <rFont val="Aptos Narrow"/>
        <scheme val="minor"/>
      </rPr>
      <t xml:space="preserve">Map client taxonomy to EY standard taxonomy
  Given client provides an employee type taxonomy with valid values
  When the system compares client taxonomy with EY standardized taxonomy
  Then the system should identify the closest matching EY employee type for each client type
  And the mapping should be saved for reporting
</t>
    </r>
    <r>
      <rPr>
        <b/>
        <sz val="11"/>
        <color rgb="FF000000"/>
        <rFont val="Aptos Narrow"/>
        <scheme val="minor"/>
      </rPr>
      <t xml:space="preserve">Scenario 2: </t>
    </r>
    <r>
      <rPr>
        <sz val="11"/>
        <color rgb="FF000000"/>
        <rFont val="Aptos Narrow"/>
        <scheme val="minor"/>
      </rPr>
      <t xml:space="preserve">Flag unmapped employee types
  Given client taxonomy contains values not present in EY taxonomy
  When the system attempts to map these values
  Then the system should flag them as unmapped
  And log them for manual review
</t>
    </r>
    <r>
      <rPr>
        <b/>
        <sz val="11"/>
        <color rgb="FF000000"/>
        <rFont val="Aptos Narrow"/>
        <scheme val="minor"/>
      </rPr>
      <t>Scenario 3</t>
    </r>
    <r>
      <rPr>
        <sz val="11"/>
        <color rgb="FF000000"/>
        <rFont val="Aptos Narrow"/>
        <scheme val="minor"/>
      </rPr>
      <t xml:space="preserve">: Multiple EY matches for a client type
  Given a client employee type matches more than one EY type equally
  When the system applies mapping rules
  Then the system should flag the ambiguity
  And request manual resolution
</t>
    </r>
    <r>
      <rPr>
        <b/>
        <sz val="11"/>
        <color rgb="FF000000"/>
        <rFont val="Aptos Narrow"/>
        <scheme val="minor"/>
      </rPr>
      <t xml:space="preserve">Scenario 4: </t>
    </r>
    <r>
      <rPr>
        <sz val="11"/>
        <color rgb="FF000000"/>
        <rFont val="Aptos Narrow"/>
        <scheme val="minor"/>
      </rPr>
      <t>Null or blank employee type values
  Given client taxonomy contains null or blank employee type values
  When the system processes the mapping
  Then the system should exclude these records from mapping
  And log them for data quality review</t>
    </r>
  </si>
  <si>
    <t>1. System must validate client taxonomy format (CSV, Excel, JSON).
2. Exact matches should be prioritized; best-fit logic applied if no exact match.
3. Unmapped or ambiguous values must be flagged for manual review.
4. Null or blank values must be excluded and logged.
5. Mapping must be auditable and version-controlled.</t>
  </si>
  <si>
    <t>US-042</t>
  </si>
  <si>
    <t>Identify Employee Type Alignment</t>
  </si>
  <si>
    <t>As a user, I want to identify individuals’ employee type alignment using the correct field
So that I can distinguish between full-time employees and contractors accurately</t>
  </si>
  <si>
    <r>
      <rPr>
        <b/>
        <sz val="11"/>
        <color rgb="FF000000"/>
        <rFont val="Aptos Narrow"/>
        <scheme val="minor"/>
      </rPr>
      <t>Scenario 1</t>
    </r>
    <r>
      <rPr>
        <sz val="11"/>
        <color rgb="FF000000"/>
        <rFont val="Aptos Narrow"/>
        <scheme val="minor"/>
      </rPr>
      <t xml:space="preserve">: Use Employee type field for alignment
  Given client census data contains 'Employee type' field
  When the system checks for employment status
  Then the system should classify individuals as full-time or contractor based on this field
</t>
    </r>
    <r>
      <rPr>
        <b/>
        <sz val="11"/>
        <color rgb="FF000000"/>
        <rFont val="Aptos Narrow"/>
        <scheme val="minor"/>
      </rPr>
      <t>Scenario 2</t>
    </r>
    <r>
      <rPr>
        <sz val="11"/>
        <color rgb="FF000000"/>
        <rFont val="Aptos Narrow"/>
        <scheme val="minor"/>
      </rPr>
      <t xml:space="preserve">: Use Worker type field for alignment
  Given client census data does not contain 'Employee type' field
  And contains 'Worker type' field
  When the system checks for employment status
  Then the system should classify individuals based on 'Worker type'
</t>
    </r>
    <r>
      <rPr>
        <b/>
        <sz val="11"/>
        <color rgb="FF000000"/>
        <rFont val="Aptos Narrow"/>
        <scheme val="minor"/>
      </rPr>
      <t>Scenario 3</t>
    </r>
    <r>
      <rPr>
        <sz val="11"/>
        <color rgb="FF000000"/>
        <rFont val="Aptos Narrow"/>
        <scheme val="minor"/>
      </rPr>
      <t xml:space="preserve">: Missing both Employee type and Worker type fields
  Given client census data does not contain 'Employee type' or 'Worker type'
  When the system attempts to classify individuals
  Then the system should return an error
  And log the issue for manual intervention
</t>
    </r>
    <r>
      <rPr>
        <b/>
        <sz val="11"/>
        <color rgb="FF000000"/>
        <rFont val="Aptos Narrow"/>
        <scheme val="minor"/>
      </rPr>
      <t>Scenario 4:</t>
    </r>
    <r>
      <rPr>
        <sz val="11"/>
        <color rgb="FF000000"/>
        <rFont val="Aptos Narrow"/>
        <scheme val="minor"/>
      </rPr>
      <t xml:space="preserve"> Normalize inconsistent field values
  Given 'Employee type' field contains values like "FT", "Fulltime", "Contractor"
  When the system processes these values
  Then the system should normalize them using a predefined mapping dictionary
  And classify individuals correctly</t>
    </r>
  </si>
  <si>
    <t>1. System must check for 'Employee type' or 'Worker type' fields.
2. If both exist, prioritize 'Employee type' over 'Worker type'.
3. Missing both fields should trigger an error and log.
4. Normalize inconsistent values using a mapping dictionary.
5. Handle case sensitivity and special characters.</t>
  </si>
  <si>
    <t>US-043</t>
  </si>
  <si>
    <t>Map Individuals to EY Standard Employee Type</t>
  </si>
  <si>
    <t>As a User, I want to map individuals from client census to EY standardized employee type
So that reporting and analytics are consistent across systems</t>
  </si>
  <si>
    <r>
      <rPr>
        <b/>
        <sz val="11"/>
        <color rgb="FF000000"/>
        <rFont val="Aptos Narrow"/>
        <scheme val="minor"/>
      </rPr>
      <t xml:space="preserve">Scenario 1: </t>
    </r>
    <r>
      <rPr>
        <sz val="11"/>
        <color rgb="FF000000"/>
        <rFont val="Aptos Narrow"/>
        <scheme val="minor"/>
      </rPr>
      <t xml:space="preserve">Map individuals to EY standard employee type
  Given client census data contains valid employee type values
  When the system applies mapping rules
  Then each individual should be assigned an EY employee type (Employee or Non-Employee)
</t>
    </r>
    <r>
      <rPr>
        <b/>
        <sz val="11"/>
        <color rgb="FF000000"/>
        <rFont val="Aptos Narrow"/>
        <scheme val="minor"/>
      </rPr>
      <t>Scenario 2</t>
    </r>
    <r>
      <rPr>
        <sz val="11"/>
        <color rgb="FF000000"/>
        <rFont val="Aptos Narrow"/>
        <scheme val="minor"/>
      </rPr>
      <t xml:space="preserve">: Missing employee type for an individual
  Given client census data contains records with missing employee type
  When the system processes these records
  Then the system should assign 'Unknown' as EY employee type
  And flag for review
</t>
    </r>
    <r>
      <rPr>
        <b/>
        <sz val="11"/>
        <color rgb="FF000000"/>
        <rFont val="Aptos Narrow"/>
        <scheme val="minor"/>
      </rPr>
      <t>Scenario 3</t>
    </r>
    <r>
      <rPr>
        <sz val="11"/>
        <color rgb="FF000000"/>
        <rFont val="Aptos Narrow"/>
        <scheme val="minor"/>
      </rPr>
      <t xml:space="preserve">: Ambiguous mapping for an individual
  Given an individual's employee type maps to multiple EY types
  When the system applies mapping rules
  Then the system should log ambiguity
  And request manual resolution
</t>
    </r>
    <r>
      <rPr>
        <b/>
        <sz val="11"/>
        <color rgb="FF000000"/>
        <rFont val="Aptos Narrow"/>
        <scheme val="minor"/>
      </rPr>
      <t>Scenario 4:</t>
    </r>
    <r>
      <rPr>
        <sz val="11"/>
        <color rgb="FF000000"/>
        <rFont val="Aptos Narrow"/>
        <scheme val="minor"/>
      </rPr>
      <t xml:space="preserve"> Generate mapping report
  Given mapping is completed for all individuals
  When the system generates the report
  Then the report should include original value, mapped value, and confidence level
  And be auditable with version control</t>
    </r>
  </si>
  <si>
    <t>1. Mapping rules must be applied consistently for all records.
2. Missing employee type should default to 'Unknown' and be flagged.
3. Ambiguous mappings must be logged for manual resolution.
4. Generate a detailed mapping report with original value, mapped value, confidence level.
5. Ensure auditability and version control for mapping changes.</t>
  </si>
  <si>
    <t>US-044</t>
  </si>
  <si>
    <t>Normalize GBS v. Corporate (if applicable)</t>
  </si>
  <si>
    <t>Evaluate Client Worker Type Taxonomy</t>
  </si>
  <si>
    <t>As a user, I want to evaluate the client-provided worker type taxonomy, including fields related to GBS or shared services
So that I can identify the best matching EY standardized worker type for accurate mapping</t>
  </si>
  <si>
    <r>
      <rPr>
        <b/>
        <sz val="11"/>
        <color rgb="FF000000"/>
        <rFont val="Aptos Narrow"/>
        <scheme val="minor"/>
      </rPr>
      <t>Scenario 1</t>
    </r>
    <r>
      <rPr>
        <sz val="11"/>
        <color rgb="FF000000"/>
        <rFont val="Aptos Narrow"/>
        <scheme val="minor"/>
      </rPr>
      <t xml:space="preserve">: Map client worker taxonomy to EY standard taxonomy
  Given client provides a worker type taxonomy with valid values
  When the system compares client taxonomy with EY standardized taxonomy
  Then the system should identify the closest matching EY worker type for each client type
  And the mapping should be saved for reporting
</t>
    </r>
    <r>
      <rPr>
        <b/>
        <sz val="11"/>
        <color rgb="FF000000"/>
        <rFont val="Aptos Narrow"/>
        <scheme val="minor"/>
      </rPr>
      <t>Scenario 2:</t>
    </r>
    <r>
      <rPr>
        <sz val="11"/>
        <color rgb="FF000000"/>
        <rFont val="Aptos Narrow"/>
        <scheme val="minor"/>
      </rPr>
      <t xml:space="preserve"> Flag unmapped worker types
  Given client taxonomy contains values not present in EY taxonomy
  When the system attempts to map these values
  Then the system should flag them as unmapped
  And log them for manual review
</t>
    </r>
    <r>
      <rPr>
        <b/>
        <sz val="11"/>
        <color rgb="FF000000"/>
        <rFont val="Aptos Narrow"/>
        <scheme val="minor"/>
      </rPr>
      <t>Scenario 3</t>
    </r>
    <r>
      <rPr>
        <sz val="11"/>
        <color rgb="FF000000"/>
        <rFont val="Aptos Narrow"/>
        <scheme val="minor"/>
      </rPr>
      <t xml:space="preserve">: Multiple EY matches for a client worker type
  Given a client worker type matches more than one EY type equally
  When the system applies mapping rules
  Then the system should flag the ambiguity
  And request manual resolution
</t>
    </r>
    <r>
      <rPr>
        <b/>
        <sz val="11"/>
        <color rgb="FF000000"/>
        <rFont val="Aptos Narrow"/>
        <scheme val="minor"/>
      </rPr>
      <t>Scenario 4</t>
    </r>
    <r>
      <rPr>
        <sz val="11"/>
        <color rgb="FF000000"/>
        <rFont val="Aptos Narrow"/>
        <scheme val="minor"/>
      </rPr>
      <t>: Null or blank worker type values
  Given client taxonomy contains null or blank worker type values
  When the system processes the mapping
  Then the system should exclude these records from mapping
  And log them for data quality review</t>
    </r>
  </si>
  <si>
    <t>1. System must validate client worker taxonomy format (CSV, Excel, JSON).
2. Exact matches should be prioritized; best-fit logic applied if no exact match.
3. Unmapped or ambiguous values must be flagged for manual review.
4. Null or blank values must be excluded and logged.
5. Mapping must be auditable and version-controlled.</t>
  </si>
  <si>
    <t>US-045</t>
  </si>
  <si>
    <t>Identify Worker Type Alignment</t>
  </si>
  <si>
    <t>As a user. I want to identify individuals’ worker type alignment using the correct field
So that I can distinguish between GBS/Shared Service and Corporate/HQ accurately</t>
  </si>
  <si>
    <r>
      <rPr>
        <b/>
        <sz val="11"/>
        <color rgb="FF000000"/>
        <rFont val="Aptos Narrow"/>
        <scheme val="minor"/>
      </rPr>
      <t>Scenario 1:</t>
    </r>
    <r>
      <rPr>
        <sz val="11"/>
        <color rgb="FF000000"/>
        <rFont val="Aptos Narrow"/>
        <scheme val="minor"/>
      </rPr>
      <t xml:space="preserve"> Use Employee type or Worker type field for alignment
  Given client census data contains 'Employee type' or 'Worker type' field
  When the system checks for organizational alignment
  Then the system should classify individuals as GBS/Shared Service or Corporate/HQ based on this field
</t>
    </r>
    <r>
      <rPr>
        <b/>
        <sz val="11"/>
        <color rgb="FF000000"/>
        <rFont val="Aptos Narrow"/>
        <scheme val="minor"/>
      </rPr>
      <t>Scenario 2</t>
    </r>
    <r>
      <rPr>
        <sz val="11"/>
        <color rgb="FF000000"/>
        <rFont val="Aptos Narrow"/>
        <scheme val="minor"/>
      </rPr>
      <t xml:space="preserve">: Missing both Employee type and Worker type fields
  Given client census data does not contain 'Employee type' or 'Worker type'
  When the system attempts to classify individuals
  Then the system should return an error
  And log the issue for manual intervention
</t>
    </r>
    <r>
      <rPr>
        <b/>
        <sz val="11"/>
        <color rgb="FF000000"/>
        <rFont val="Aptos Narrow"/>
        <scheme val="minor"/>
      </rPr>
      <t xml:space="preserve">Scenario 3: </t>
    </r>
    <r>
      <rPr>
        <sz val="11"/>
        <color rgb="FF000000"/>
        <rFont val="Aptos Narrow"/>
        <scheme val="minor"/>
      </rPr>
      <t>Normalize inconsistent field values
  Given 'Worker type' field contains values like "GBS", "SharedSvc", "Corp", "HQ"
  When the system processes these values
  Then the system should normalize them using a predefined mapping dictionary
  And classify individuals correctly</t>
    </r>
  </si>
  <si>
    <t>1. System must check for 'Employee type' or 'Worker type' fields.
2. If both exist, prioritize 'Worker type' for GBS/Corporate classification.
3. Missing both fields should trigger an error and log.
4. Normalize inconsistent values using a mapping dictionary.
5. Handle case sensitivity and special characters.</t>
  </si>
  <si>
    <t>US-046</t>
  </si>
  <si>
    <t>Map Individuals to EY Standard Worker Type</t>
  </si>
  <si>
    <t>As a user, I want to map individuals from client census to EY standardized worker type So that reporting and analytics are consistent across systems</t>
  </si>
  <si>
    <r>
      <rPr>
        <b/>
        <sz val="11"/>
        <color rgb="FF000000"/>
        <rFont val="Aptos Narrow"/>
        <scheme val="minor"/>
      </rPr>
      <t xml:space="preserve">Scenario 1: </t>
    </r>
    <r>
      <rPr>
        <sz val="11"/>
        <color rgb="FF000000"/>
        <rFont val="Aptos Narrow"/>
        <scheme val="minor"/>
      </rPr>
      <t xml:space="preserve">Map individuals to EY standard worker type
  Given client census data contains valid worker type values
  When the system applies mapping rules
  Then each individual should be assigned an EY worker type (GBS, Corporate, or Unknown)
</t>
    </r>
    <r>
      <rPr>
        <b/>
        <sz val="11"/>
        <color rgb="FF000000"/>
        <rFont val="Aptos Narrow"/>
        <scheme val="minor"/>
      </rPr>
      <t>Scenario 2</t>
    </r>
    <r>
      <rPr>
        <sz val="11"/>
        <color rgb="FF000000"/>
        <rFont val="Aptos Narrow"/>
        <scheme val="minor"/>
      </rPr>
      <t xml:space="preserve">: Missing worker type for an individual
  Given client census data contains records with missing worker type
  When the system processes these records
  Then the system should assign 'Unknown' as EY worker type
  And flag for review
</t>
    </r>
    <r>
      <rPr>
        <b/>
        <sz val="11"/>
        <color rgb="FF000000"/>
        <rFont val="Aptos Narrow"/>
        <scheme val="minor"/>
      </rPr>
      <t>Scenario 3</t>
    </r>
    <r>
      <rPr>
        <sz val="11"/>
        <color rgb="FF000000"/>
        <rFont val="Aptos Narrow"/>
        <scheme val="minor"/>
      </rPr>
      <t xml:space="preserve">: Ambiguous mapping for an individual
  Given an individual's worker type maps to multiple EY types
  When the system applies mapping rules
  Then the system should log ambiguity
  And request manual resolution
</t>
    </r>
    <r>
      <rPr>
        <b/>
        <sz val="11"/>
        <color rgb="FF000000"/>
        <rFont val="Aptos Narrow"/>
        <scheme val="minor"/>
      </rPr>
      <t>Scenario 4:</t>
    </r>
    <r>
      <rPr>
        <sz val="11"/>
        <color rgb="FF000000"/>
        <rFont val="Aptos Narrow"/>
        <scheme val="minor"/>
      </rPr>
      <t xml:space="preserve"> Generate mapping report
  Given mapping is completed for all individuals
  When the system generates the report
  Then the report should include original value, mapped value, and confidence level
  And be auditable with version control</t>
    </r>
  </si>
  <si>
    <t>1. Mapping rules must be applied consistently for all records.
2. Missing worker type should default to 'Unknown' and be flagged.
3. Ambiguous mappings must be logged for manual resolution.
4. Generate a detailed mapping report with original value, mapped value, confidence level.
5. Ensure auditability and version control for mapping changes.</t>
  </si>
  <si>
    <t>US-047</t>
  </si>
  <si>
    <t>Normalize currency if Toggle is on</t>
  </si>
  <si>
    <t>Census Update for Synergy</t>
  </si>
  <si>
    <t>Normalize currency based on selection in project creation tab</t>
  </si>
  <si>
    <t>As a user, I want to normalize currency based on the selection in the project creation page
So that all cost data is standardized for reporting and analysis</t>
  </si>
  <si>
    <r>
      <rPr>
        <sz val="11"/>
        <color rgb="FF000000"/>
        <rFont val="Aptos Narrow"/>
        <scheme val="minor"/>
      </rPr>
      <t xml:space="preserve">
</t>
    </r>
    <r>
      <rPr>
        <b/>
        <sz val="11"/>
        <color rgb="FF000000"/>
        <rFont val="Aptos Narrow"/>
        <scheme val="minor"/>
      </rPr>
      <t xml:space="preserve">Scenario 1: </t>
    </r>
    <r>
      <rPr>
        <sz val="11"/>
        <color rgb="FF000000"/>
        <rFont val="Aptos Narrow"/>
        <scheme val="minor"/>
      </rPr>
      <t xml:space="preserve">Normalize currency when standardization is toggled on
  Given currency standardization is enabled in the project creation page
  And USD is selected as the standardized currency
  When the system processes cost data
  Then all costs should be converted to USD using the latest conversion rate
</t>
    </r>
    <r>
      <rPr>
        <b/>
        <sz val="11"/>
        <color rgb="FF000000"/>
        <rFont val="Aptos Narrow"/>
        <scheme val="minor"/>
      </rPr>
      <t>Scenario 2</t>
    </r>
    <r>
      <rPr>
        <sz val="11"/>
        <color rgb="FF000000"/>
        <rFont val="Aptos Narrow"/>
        <scheme val="minor"/>
      </rPr>
      <t>: Skip normalization when standardization is toggled off
  Given currency standardization is disabled in the project creation page
  When the system processes cost data
  Then the system should retain original currency values
  And move to the next step without conversion</t>
    </r>
  </si>
  <si>
    <t>1. Currency normalization should only occur if the toggle is ON.
2. Selected standardized currency must be applied consistently across all records.
3. If toggle is OFF, no conversion should occur.</t>
  </si>
  <si>
    <t>US-048</t>
  </si>
  <si>
    <t>Review Current Currency in Census File</t>
  </si>
  <si>
    <t>As a user, I want to review the currency field in the census file
So that I can determine the current currency before applying conversion</t>
  </si>
  <si>
    <r>
      <rPr>
        <b/>
        <sz val="11"/>
        <color rgb="FF000000"/>
        <rFont val="Aptos Narrow"/>
        <scheme val="minor"/>
      </rPr>
      <t>Scenario</t>
    </r>
    <r>
      <rPr>
        <sz val="11"/>
        <color rgb="FF000000"/>
        <rFont val="Aptos Narrow"/>
        <scheme val="minor"/>
      </rPr>
      <t>: Identify current currency from census file
  Given the census file contains a currency field
  When the system reads the currency field
  Then the system should determine the current currency for each record</t>
    </r>
  </si>
  <si>
    <t>1. System must validate that the currency field exists in the census file.
2. If the currency field is missing, log an error and halt normalization.
3. Handle cases where currency values are inconsistent (e.g., "USD", "US$", "Dollar") by normalizing them.</t>
  </si>
  <si>
    <t>US-049</t>
  </si>
  <si>
    <t>Compare and Convert Currency</t>
  </si>
  <si>
    <t>As a user, I want to compare the current currency to the selected standardized currency
So that I can apply conversion only when needed</t>
  </si>
  <si>
    <r>
      <rPr>
        <b/>
        <sz val="11"/>
        <color rgb="FF000000"/>
        <rFont val="Aptos Narrow"/>
        <scheme val="minor"/>
      </rPr>
      <t>Scenario 1</t>
    </r>
    <r>
      <rPr>
        <sz val="11"/>
        <color rgb="FF000000"/>
        <rFont val="Aptos Narrow"/>
        <scheme val="minor"/>
      </rPr>
      <t xml:space="preserve">: No conversion needed when currencies match
  Given the current currency matches the selected standardized currency
  When the system processes cost data
  Then no conversion should be applied
  And costs should remain unchanged
</t>
    </r>
    <r>
      <rPr>
        <b/>
        <sz val="11"/>
        <color rgb="FF000000"/>
        <rFont val="Aptos Narrow"/>
        <scheme val="minor"/>
      </rPr>
      <t>Scenario 2</t>
    </r>
    <r>
      <rPr>
        <sz val="11"/>
        <color rgb="FF000000"/>
        <rFont val="Aptos Narrow"/>
        <scheme val="minor"/>
      </rPr>
      <t>: Convert currency when currencies differ
  Given the current currency differs from the selected standardized currency
  When the system retrieves the latest conversion rate using Open AI web search API
  Then the system should apply the conversion rate to fully loaded cost
  And update the cost values to the standardized currency</t>
    </r>
  </si>
  <si>
    <t>1. If current currency equals standardized currency, skip conversion.
2. If different, retrieve conversion rate via open AI web search API provided by competetive Edge team
3. Apply conversion accurately to fully loaded cost.
4. Log conversion details (original currency, target currency, rate applied).
5. Handle API failure gracefully (retry or flag for manual intervention).</t>
  </si>
  <si>
    <t>US-050</t>
  </si>
  <si>
    <t>GLOBAL CLIENTS: Normalize location to defined high cost / low cost &amp; region classification</t>
  </si>
  <si>
    <t>Country Location Classification and Cost of Living Tagging</t>
  </si>
  <si>
    <t>As a user, I want to identify the country location for each individual in the client census file
So that I can map them to cost-of-living classifications</t>
  </si>
  <si>
    <r>
      <rPr>
        <b/>
        <sz val="11"/>
        <color rgb="FF000000"/>
        <rFont val="Aptos Narrow"/>
        <scheme val="minor"/>
      </rPr>
      <t>Scenario</t>
    </r>
    <r>
      <rPr>
        <sz val="11"/>
        <color rgb="FF000000"/>
        <rFont val="Aptos Narrow"/>
        <scheme val="minor"/>
      </rPr>
      <t>: Extract country location from census file
  Given the client census file contains a country field
  When the system reads the country field for each individual
  Then the system should identify the country location accurately</t>
    </r>
  </si>
  <si>
    <t>1. System must validate that the country field exists in the census file.
2. If the country field is missing, log an error and skip classification.
3. Normalize inconsistent country names (e.g., "USA", "United States", "US").</t>
  </si>
  <si>
    <t>US-051</t>
  </si>
  <si>
    <t>As a user, I want to map each country to its corresponding cost-of-living index value
So that I can classify countries as high-cost or low-cost</t>
  </si>
  <si>
    <r>
      <rPr>
        <b/>
        <sz val="11"/>
        <color rgb="FF000000"/>
        <rFont val="Aptos Narrow"/>
        <scheme val="minor"/>
      </rPr>
      <t>Scenario:</t>
    </r>
    <r>
      <rPr>
        <sz val="11"/>
        <color rgb="FF000000"/>
        <rFont val="Aptos Narrow"/>
        <scheme val="minor"/>
      </rPr>
      <t xml:space="preserve"> Map country to cost-of-living index
  Given a reference table of cost-of-living index values for all countries
  When the system matches the country from the census file to the reference table
  Then the system should retrieve the correct cost-of-living index value</t>
    </r>
  </si>
  <si>
    <t>1. System must use a validated reference table for cost-of-living index values.
2. If a country is not found in the reference table, log as "Unknown" and flag for review.
3. Handle case sensitivity and alternate country names.</t>
  </si>
  <si>
    <t>US-052</t>
  </si>
  <si>
    <t>As a user, I want to calculate the global 3rd quartile (3Q) value of cost-of-living index
So that I can use it as a threshold for high-cost vs low-cost classification</t>
  </si>
  <si>
    <r>
      <rPr>
        <b/>
        <sz val="11"/>
        <color rgb="FF000000"/>
        <rFont val="Aptos Narrow"/>
        <scheme val="minor"/>
      </rPr>
      <t>Scenario</t>
    </r>
    <r>
      <rPr>
        <sz val="11"/>
        <color rgb="FF000000"/>
        <rFont val="Aptos Narrow"/>
        <scheme val="minor"/>
      </rPr>
      <t>: Calculate global 3rd quartile value
  Given a list of cost-of-living index values for all countries globally
  When the system calculates the 3rd quartile value
  Then the system should store this value for classification</t>
    </r>
  </si>
  <si>
    <t>1. System must calculate the 3rd quartile (75th percentile) accurately.
2. Calculation should exclude null or invalid values.
3. Log the calculated 3Q value for audit purposes.</t>
  </si>
  <si>
    <t>US-053</t>
  </si>
  <si>
    <t>As a user,  I want to classify each country as high-cost or low-cost based on the 3Q threshold
So that I can tag individuals accordingly</t>
  </si>
  <si>
    <r>
      <rPr>
        <b/>
        <sz val="11"/>
        <color rgb="FF000000"/>
        <rFont val="Aptos Narrow"/>
        <scheme val="minor"/>
      </rPr>
      <t>Scenario 1:</t>
    </r>
    <r>
      <rPr>
        <sz val="11"/>
        <color rgb="FF000000"/>
        <rFont val="Aptos Narrow"/>
        <scheme val="minor"/>
      </rPr>
      <t xml:space="preserve"> Mark country as high-cost
  Given the cost-of-living index for a country is greater than the global 3Q value
  When the system processes the classification
  Then the country should be marked as "High Cost"
</t>
    </r>
    <r>
      <rPr>
        <b/>
        <sz val="11"/>
        <color rgb="FF000000"/>
        <rFont val="Aptos Narrow"/>
        <scheme val="minor"/>
      </rPr>
      <t xml:space="preserve">Scenario 2: </t>
    </r>
    <r>
      <rPr>
        <sz val="11"/>
        <color rgb="FF000000"/>
        <rFont val="Aptos Narrow"/>
        <scheme val="minor"/>
      </rPr>
      <t>Mark country as low-cost
  Given the cost-of-living index for a country is less than or equal to the global 3Q value
  When the system processes the classification
  Then the country should be marked as "Low Cost"</t>
    </r>
  </si>
  <si>
    <t>1. Countries with index &gt; 3Q → High Cost.
2. Countries with index ≤ 3Q → Low Cost.
3. Classification must be logged for audit.</t>
  </si>
  <si>
    <t>US-054</t>
  </si>
  <si>
    <t>As a user, I want to tag individuals in the census file as high-cost or low-cost based on their country
So that cost analysis can be normalized across regions</t>
  </si>
  <si>
    <r>
      <rPr>
        <b/>
        <sz val="11"/>
        <color rgb="FF000000"/>
        <rFont val="Aptos Narrow"/>
        <scheme val="minor"/>
      </rPr>
      <t>Scenario:</t>
    </r>
    <r>
      <rPr>
        <sz val="11"/>
        <color rgb="FF000000"/>
        <rFont val="Aptos Narrow"/>
        <scheme val="minor"/>
      </rPr>
      <t xml:space="preserve"> Tag individuals based on country classification
  Given each individual has a country classification of High Cost or Low Cost
  When the system processes the census file
  Then the individual should be tagged accordingly</t>
    </r>
  </si>
  <si>
    <t>1. Each individual must inherit the classification of their country.
2. If country classification is "Unknown", tag individual as "Unknown".
3. Generate a report showing individual ID, country, classification.</t>
  </si>
  <si>
    <t>US-055</t>
  </si>
  <si>
    <t xml:space="preserve"> US ONLY CLIENTS: Normalize location to defined high cost / low cost &amp; region classification</t>
  </si>
  <si>
    <t>State Location Classification and Cost of Living Tagging (USA Only)</t>
  </si>
  <si>
    <t>As a user, I want to identify the state location for each individual in the client census file
So that I can classify them based on cost-of-living index for U.S. states</t>
  </si>
  <si>
    <r>
      <rPr>
        <b/>
        <sz val="11"/>
        <color rgb="FF000000"/>
        <rFont val="Aptos Narrow"/>
        <scheme val="minor"/>
      </rPr>
      <t>Scenario 1</t>
    </r>
    <r>
      <rPr>
        <sz val="11"/>
        <color rgb="FF000000"/>
        <rFont val="Aptos Narrow"/>
        <scheme val="minor"/>
      </rPr>
      <t xml:space="preserve">: Extract state location when country is USA
  Given the client census file contains a country field and a state field
  And the country is "USA"
  When the system reads the state field for each individual
  Then the system should identify the state location accurately
</t>
    </r>
    <r>
      <rPr>
        <b/>
        <sz val="11"/>
        <color rgb="FF000000"/>
        <rFont val="Aptos Narrow"/>
        <scheme val="minor"/>
      </rPr>
      <t>Scenario 2:</t>
    </r>
    <r>
      <rPr>
        <sz val="11"/>
        <color rgb="FF000000"/>
        <rFont val="Aptos Narrow"/>
        <scheme val="minor"/>
      </rPr>
      <t xml:space="preserve"> Ignore state classification when country is not USA
  Given the client census file contains a country field
  And the country is not "USA"
  When the system processes location data
  Then the system should skip state classification</t>
    </r>
  </si>
  <si>
    <t>1. State classification should only occur if country = USA.
2. If state field is missing for USA records, log error and tag as "Unknown".
3. Normalize inconsistent state names (e.g., "CA", "California").</t>
  </si>
  <si>
    <t>US-056</t>
  </si>
  <si>
    <t>As a user, I want to map each U.S. state to its corresponding cost-of-living index value
So that I can classify states as high-cost or low-cost</t>
  </si>
  <si>
    <r>
      <rPr>
        <b/>
        <sz val="11"/>
        <color rgb="FF000000"/>
        <rFont val="Aptos Narrow"/>
        <scheme val="minor"/>
      </rPr>
      <t>Scenario:</t>
    </r>
    <r>
      <rPr>
        <sz val="11"/>
        <color rgb="FF000000"/>
        <rFont val="Aptos Narrow"/>
        <scheme val="minor"/>
      </rPr>
      <t xml:space="preserve"> Map state to cost-of-living index
  Given a reference table of cost-of-living index values for all U.S. states
  When the system matches the state from the census file to the reference table
  Then the system should retrieve the correct cost-of-living index value</t>
    </r>
  </si>
  <si>
    <t>1. System must use a validated reference table for U.S. states.
2. If a state is not found in the reference table, log as "Unknown" and flag for review.
3. Handle case sensitivity and alternate state names.</t>
  </si>
  <si>
    <t>US-057</t>
  </si>
  <si>
    <t>As a user, I want to calculate the 3rd quartile (3Q) value of cost-of-living index for U.S. states
So that I can use it as a threshold for high-cost vs low-cost classification</t>
  </si>
  <si>
    <r>
      <rPr>
        <b/>
        <sz val="11"/>
        <color rgb="FF000000"/>
        <rFont val="Aptos Narrow"/>
        <scheme val="minor"/>
      </rPr>
      <t>Scenario:</t>
    </r>
    <r>
      <rPr>
        <sz val="11"/>
        <color rgb="FF000000"/>
        <rFont val="Aptos Narrow"/>
        <scheme val="minor"/>
      </rPr>
      <t xml:space="preserve"> Calculate 3rd quartile value for U.S. states
  Given a list of cost-of-living index values for all U.S. states
  When the system calculates the 3rd quartile value
  Then the system should store this value for classification</t>
    </r>
  </si>
  <si>
    <t>US-058</t>
  </si>
  <si>
    <t>As a User, I want to classify each U.S. state as high-cost or low-cost based on the 3Q threshold
So that I can tag individuals accordingly</t>
  </si>
  <si>
    <r>
      <rPr>
        <b/>
        <sz val="11"/>
        <color rgb="FF000000"/>
        <rFont val="Aptos Narrow"/>
        <scheme val="minor"/>
      </rPr>
      <t>Scenario 1</t>
    </r>
    <r>
      <rPr>
        <sz val="11"/>
        <color rgb="FF000000"/>
        <rFont val="Aptos Narrow"/>
        <scheme val="minor"/>
      </rPr>
      <t xml:space="preserve">: Mark state as high-cost
  Given the cost-of-living index for a state is greater than the 3Q value
  When the system processes the classification
  Then the state should be marked as "High Cost"
</t>
    </r>
    <r>
      <rPr>
        <b/>
        <sz val="11"/>
        <color rgb="FF000000"/>
        <rFont val="Aptos Narrow"/>
        <scheme val="minor"/>
      </rPr>
      <t xml:space="preserve">Scenario 2: </t>
    </r>
    <r>
      <rPr>
        <sz val="11"/>
        <color rgb="FF000000"/>
        <rFont val="Aptos Narrow"/>
        <scheme val="minor"/>
      </rPr>
      <t>Mark state as low-cost
  Given the cost-of-living index for a state is less than or equal to the 3Q value
  When the system processes the classification
  Then the state should be marked as "Low Cost"</t>
    </r>
  </si>
  <si>
    <t>1. States with index &gt; 3Q → High Cost.
2. States with index ≤ 3Q → Low Cost.
3. Classification must be logged for audit.</t>
  </si>
  <si>
    <t>US-059</t>
  </si>
  <si>
    <t>As a user, I want to tag individuals in the census file as high-cost or low-cost based on their state
So that cost analysis can be normalized across regions</t>
  </si>
  <si>
    <r>
      <rPr>
        <b/>
        <sz val="11"/>
        <color rgb="FF000000"/>
        <rFont val="Aptos Narrow"/>
        <scheme val="minor"/>
      </rPr>
      <t>Scenario:</t>
    </r>
    <r>
      <rPr>
        <sz val="11"/>
        <color rgb="FF000000"/>
        <rFont val="Aptos Narrow"/>
        <scheme val="minor"/>
      </rPr>
      <t xml:space="preserve"> Tag individuals based on state classification
  Given each individual has a state classification of High Cost or Low Cost
  When the system processes the census file
  Then the individual should be tagged accordingly</t>
    </r>
  </si>
  <si>
    <t>1. Each individual must inherit the classification of their state.
2. If state classification is "Unknown", tag individual as "Unknown".
3. Generate a report showing individual ID, state, classification.</t>
  </si>
  <si>
    <t>US-060</t>
  </si>
  <si>
    <t>As a user,  I want to map individuals to EYP normalized regions So that reporting aligns with EY regional standards</t>
  </si>
  <si>
    <r>
      <rPr>
        <b/>
        <sz val="11"/>
        <color rgb="FF000000"/>
        <rFont val="Aptos Narrow"/>
        <scheme val="minor"/>
      </rPr>
      <t>Scenario:</t>
    </r>
    <r>
      <rPr>
        <sz val="11"/>
        <color rgb="FF000000"/>
        <rFont val="Aptos Narrow"/>
        <scheme val="minor"/>
      </rPr>
      <t xml:space="preserve"> Map individuals to EYP normalized regions
  Given a reference table of EYP normalized regions
  When the system matches state or country to the corresponding region
  Then the individual should be tagged with the correct EYP region</t>
    </r>
  </si>
  <si>
    <t>1. System must use a validated EYP region mapping table.
2. If mapping fails, tag as "Unknown" and log for review.
3. Mapping must be auditable and version-controlled.</t>
  </si>
  <si>
    <t>US-061</t>
  </si>
  <si>
    <t>Map Job title and Job description</t>
  </si>
  <si>
    <t>Job Title Mapping and Dynamic Job Description Creation</t>
  </si>
  <si>
    <t>As a user, I want to evaluate the client-provided job title taxonomy So that I can identify exact matches within EY standardized taxonomy or generic taxonomy and map individuals accordingly</t>
  </si>
  <si>
    <r>
      <rPr>
        <b/>
        <sz val="11"/>
        <color rgb="FF000000"/>
        <rFont val="Aptos Narrow"/>
        <scheme val="minor"/>
      </rPr>
      <t>Scenario 1</t>
    </r>
    <r>
      <rPr>
        <sz val="11"/>
        <color rgb="FF000000"/>
        <rFont val="Aptos Narrow"/>
        <scheme val="minor"/>
      </rPr>
      <t xml:space="preserve">: Identify exact job title match in EY standardized taxonomy
  Given the client census file contains job titles
  And EY standardized taxonomy is available
  When the system compares client job titles to EY taxonomy
  Then the system should identify exact matches
  And store the mapping for further processing
</t>
    </r>
    <r>
      <rPr>
        <b/>
        <sz val="11"/>
        <color rgb="FF000000"/>
        <rFont val="Aptos Narrow"/>
        <scheme val="minor"/>
      </rPr>
      <t>Scenario 2:</t>
    </r>
    <r>
      <rPr>
        <sz val="11"/>
        <color rgb="FF000000"/>
        <rFont val="Aptos Narrow"/>
        <scheme val="minor"/>
      </rPr>
      <t xml:space="preserve"> Identify exact job title match in generic taxonomy for super-generic titles
  Given the client census file contains job titles, roles, functions, and sub-functions
  And the values are super-generic (e.g., "IT Manager", "IT")
  When the system compares client job titles to generic taxonomy
  Then the system should identify exact matches
  And store the mapping for further processing</t>
    </r>
  </si>
  <si>
    <t>1. System must validate presence of job title field in census file.
2. Exact match should be prioritized in EY standardized taxonomy.
3. If job title is generic, check against generic taxonomy.
4. Log all matches for audit purposes.</t>
  </si>
  <si>
    <t>US-062</t>
  </si>
  <si>
    <t>As a user, I want to map individuals to EY standardized job title or generic job title and corresponding job description
So that job roles are standardized for reporting and analytics</t>
  </si>
  <si>
    <r>
      <rPr>
        <b/>
        <sz val="11"/>
        <color rgb="FF000000"/>
        <rFont val="Aptos Narrow"/>
        <scheme val="minor"/>
      </rPr>
      <t>Scenario</t>
    </r>
    <r>
      <rPr>
        <sz val="11"/>
        <color rgb="FF000000"/>
        <rFont val="Aptos Narrow"/>
        <scheme val="minor"/>
      </rPr>
      <t>: Map individuals when exact match is found
  Given an exact job title match exists in EY standardized taxonomy or generic taxonomy
  When the system processes the mapping
  Then the individual should be assigned the corresponding EY job title
  And the job description should be retrieved from the job description database</t>
    </r>
  </si>
  <si>
    <t>1. If exact match exists in EY taxonomy or generic taxonomy, map job title and description.
2. Job description must be retrieved from the job description database.
3. Mapping must be logged and auditable.</t>
  </si>
  <si>
    <t>US-063</t>
  </si>
  <si>
    <t>As a user, I want to create a dynamic job description based on reference points when no exact match is found
So that all roles have a standardized description</t>
  </si>
  <si>
    <r>
      <rPr>
        <b/>
        <sz val="11"/>
        <color rgb="FF000000"/>
        <rFont val="Aptos Narrow"/>
        <scheme val="minor"/>
      </rPr>
      <t>Scenario:</t>
    </r>
    <r>
      <rPr>
        <sz val="11"/>
        <color rgb="FF000000"/>
        <rFont val="Aptos Narrow"/>
        <scheme val="minor"/>
      </rPr>
      <t xml:space="preserve"> Create dynamic job description when no exact match exists
  Given no exact job title match exists in EY standardized taxonomy or generic taxonomy
  When the system processes the client job title, role, function, and sub-function
  Then the system should generate a new job description dynamically
  And assign it to the individual</t>
    </r>
  </si>
  <si>
    <t>1. Dynamic job description must use reference points: client job title, role, function, sub-function.
2. Generated description must meet EY formatting standards.
3. Log creation of new job description for audit.</t>
  </si>
  <si>
    <t>US-064</t>
  </si>
  <si>
    <t>As a user, I want to update the job description database with new job titles and descriptions
So that future mappings can reuse these entries</t>
  </si>
  <si>
    <r>
      <rPr>
        <b/>
        <sz val="11"/>
        <color rgb="FF000000"/>
        <rFont val="Aptos Narrow"/>
        <scheme val="minor"/>
      </rPr>
      <t>Scenario:</t>
    </r>
    <r>
      <rPr>
        <sz val="11"/>
        <color rgb="FF000000"/>
        <rFont val="Aptos Narrow"/>
        <scheme val="minor"/>
      </rPr>
      <t xml:space="preserve"> Update job description database with new entries
  Given a new job description was created
  When the system processes the update
  Then the new job title and corresponding job description should be added to the database</t>
    </r>
  </si>
  <si>
    <t>1. Database update must include new job title and description.
2. Ensure version control and audit trail for updates.
3. Validate that no duplicate entries are created.</t>
  </si>
  <si>
    <t>US-065</t>
  </si>
  <si>
    <t>Map Individuals to Processes, Outcomes &amp; Assumptions</t>
  </si>
  <si>
    <t>As a user, I want to use keyword mapping to match job descriptions to EY L2 and E2E L2 processes
So that individuals can be linked to standardized process taxonomy</t>
  </si>
  <si>
    <r>
      <rPr>
        <b/>
        <sz val="11"/>
        <color rgb="FF000000"/>
        <rFont val="Aptos Narrow"/>
        <scheme val="minor"/>
      </rPr>
      <t>Scenario:</t>
    </r>
    <r>
      <rPr>
        <sz val="11"/>
        <color rgb="FF000000"/>
        <rFont val="Aptos Narrow"/>
        <scheme val="minor"/>
      </rPr>
      <t xml:space="preserve"> Map job description to EY L2 and E2E L2 processes
  Given the job description is available (from database or dynamically generated)
  And EY standard taxonomy for L2 and E2E L2 processes is available
  When the system performs keyword search on the job description
  Then the system should identify the best matching EY L2 process
  And identify the corresponding E2E L2 process</t>
    </r>
  </si>
  <si>
    <t>1. System must validate presence of job description for each individual.
2. Keyword mapping should use predefined dictionary or NLP-based matching.
3. If no match found, log as "Unmapped" and flag for review.
4. Mapping must be auditable.</t>
  </si>
  <si>
    <t>US-066</t>
  </si>
  <si>
    <t>As a user I want to map EY L2 process to EY L1 process
So that I can classify job nature function</t>
  </si>
  <si>
    <r>
      <rPr>
        <b/>
        <sz val="11"/>
        <color rgb="FF000000"/>
        <rFont val="Aptos Narrow"/>
        <scheme val="minor"/>
      </rPr>
      <t>Scenario:</t>
    </r>
    <r>
      <rPr>
        <sz val="11"/>
        <color rgb="FF000000"/>
        <rFont val="Aptos Narrow"/>
        <scheme val="minor"/>
      </rPr>
      <t xml:space="preserve"> Map EY L2 process to EY L1 process
  Given EY L2 process is identified for an individual
  When the system references EY standard taxonomy
  Then the system should map EY L2 process to EY L1 process
  And store EY L1 as "EY Job Nature Function"</t>
    </r>
  </si>
  <si>
    <t>1. EY L2 → EY L1 mapping must follow EY standard taxonomy.
2. If mapping fails, log as "Unknown".
3. Mapping must be stored for reporting.</t>
  </si>
  <si>
    <t>US-067</t>
  </si>
  <si>
    <t>As a user, I want to map E2E L2 process to E2E L1 process
So that end-to-end process hierarchy is maintained</t>
  </si>
  <si>
    <r>
      <rPr>
        <b/>
        <sz val="11"/>
        <color rgb="FF000000"/>
        <rFont val="Aptos Narrow"/>
        <scheme val="minor"/>
      </rPr>
      <t>Scenario:</t>
    </r>
    <r>
      <rPr>
        <sz val="11"/>
        <color rgb="FF000000"/>
        <rFont val="Aptos Narrow"/>
        <scheme val="minor"/>
      </rPr>
      <t xml:space="preserve"> Map E2E L2 process to E2E L1 process
  Given E2E L2 process is identified for an individual
  When the system references EY standard taxonomy
  Then the system should map E2E L2 process to E2E L1 process</t>
    </r>
  </si>
  <si>
    <t>1. E2E L2 → E2E L1 mapping must follow EY standard taxonomy.
2. If mapping fails, log as "Unknown".
3. Mapping must be auditable.</t>
  </si>
  <si>
    <t>US-068</t>
  </si>
  <si>
    <t>As a user, I want to map EY L2 process to work type, outcome L1, outcome L2, and assumptions
So that process-level details are standardized</t>
  </si>
  <si>
    <r>
      <rPr>
        <b/>
        <sz val="11"/>
        <color rgb="FF000000"/>
        <rFont val="Aptos Narrow"/>
        <scheme val="minor"/>
      </rPr>
      <t>Scenario:</t>
    </r>
    <r>
      <rPr>
        <sz val="11"/>
        <color rgb="FF000000"/>
        <rFont val="Aptos Narrow"/>
        <scheme val="minor"/>
      </rPr>
      <t xml:space="preserve"> Map EY L2 process to work type, outcomes, and assumptions
  Given EY L2 process is identified for an individual
  When the system references EY standard taxonomy
  Then the system should map EY L2 process to:
    | Work Type |
    | Outcome L1 |
    | Outcome L2 |
    | Assumptions (GBS %, Automate %, Outsource %) |</t>
    </r>
  </si>
  <si>
    <t>1. Mapping must include work type, outcome L1, outcome L2.
2. Assumptions must include GBS low/high %, Automate low/high %, Outsource low/high %.
3. All mappings must be stored and auditable.</t>
  </si>
  <si>
    <t>US-069</t>
  </si>
  <si>
    <t>As a user, I want to store the same information for E2E L2 process So that both EY L2 and E2E L2 mappings are complete</t>
  </si>
  <si>
    <r>
      <rPr>
        <b/>
        <sz val="11"/>
        <color rgb="FF000000"/>
        <rFont val="Aptos Narrow"/>
        <scheme val="minor"/>
      </rPr>
      <t>Scenario</t>
    </r>
    <r>
      <rPr>
        <sz val="11"/>
        <color rgb="FF000000"/>
        <rFont val="Aptos Narrow"/>
        <scheme val="minor"/>
      </rPr>
      <t>: Store outcomes and assumptions for E2E L2 process
  Given EY L2 process mapping is completed
  And E2E L2 process is identified
  When the system processes mapping details
  Then the system should store:
    | Outcome L1 |
    | Outcome L2 |
    | Work Type |
    | Assumptions (GBS %, Automate %, Outsource %) |
  For the E2E L2 process as well</t>
    </r>
  </si>
  <si>
    <t>1. E2E L2 process must inherit all mapped details from EY L2 process.
2. Ensure consistency between EY L2 and E2E L2 mappings.
3. Mapping must be auditable and version-controlled.</t>
  </si>
  <si>
    <t>US-070</t>
  </si>
  <si>
    <t>Identify and tag shadow organization roles by function</t>
  </si>
  <si>
    <t>Identify Shadow Organization Roles and Centralization Opportunities</t>
  </si>
  <si>
    <t>As a user, I want to ensure each individual has both a normalized EY L1 (from step 2a) and a mapped EY L1 (job nature function from step 3b)
So that I can compare them for shadow organization identification</t>
  </si>
  <si>
    <r>
      <rPr>
        <b/>
        <sz val="11"/>
        <color rgb="FF000000"/>
        <rFont val="Aptos Narrow"/>
        <scheme val="minor"/>
      </rPr>
      <t xml:space="preserve">Scenario: </t>
    </r>
    <r>
      <rPr>
        <sz val="11"/>
        <color rgb="FF000000"/>
        <rFont val="Aptos Narrow"/>
        <scheme val="minor"/>
      </rPr>
      <t>Check presence of normalized EY L1 and mapped EY L1
  Given the client census file contains normalized EY L1 and mapped EY L1 for each individual
  When the system validates these fields
  Then the system should confirm both values exist
  And log any missing values for review</t>
    </r>
  </si>
  <si>
    <t>1. Both normalized EY L1 and mapped EY L1 must exist for every individual.
2. If either is missing, log error and skip comparison for that individual.
3. Generate a validation report listing missing fields.</t>
  </si>
  <si>
    <t>US-071</t>
  </si>
  <si>
    <t>As a user I want to compare normalized EY L1 to mapped EY L1 So that I can identify mismatches indicating shadow organization roles</t>
  </si>
  <si>
    <r>
      <rPr>
        <b/>
        <sz val="11"/>
        <color rgb="FF000000"/>
        <rFont val="Aptos Narrow"/>
        <scheme val="minor"/>
      </rPr>
      <t>Scenario</t>
    </r>
    <r>
      <rPr>
        <sz val="11"/>
        <color rgb="FF000000"/>
        <rFont val="Aptos Narrow"/>
        <scheme val="minor"/>
      </rPr>
      <t>: Identify mismatch between normalized EY L1 and mapped EY L1
  Given normalized EY L1 and mapped EY L1 exist for an individual
  When the system compares these values
  Then if the values differ
  The individual should be flagged as a shadow organization role</t>
    </r>
  </si>
  <si>
    <t>1. If normalized EY L1 = mapped EY L1 → no action.
2. If normalized EY L1 ≠ mapped EY L1 → flag as shadow org role.
3. Log comparison results for audit.</t>
  </si>
  <si>
    <t>US-072</t>
  </si>
  <si>
    <t>As a user, I want to mark flagged shadow org roles as opportunities for centralization
So that cost-saving opportunities can be identified</t>
  </si>
  <si>
    <r>
      <rPr>
        <b/>
        <sz val="11"/>
        <color rgb="FF000000"/>
        <rFont val="Aptos Narrow"/>
        <scheme val="minor"/>
      </rPr>
      <t>Scenario</t>
    </r>
    <r>
      <rPr>
        <sz val="11"/>
        <color rgb="FF000000"/>
        <rFont val="Aptos Narrow"/>
        <scheme val="minor"/>
      </rPr>
      <t>: Mark shadow org roles for centralization
  Given an individual is flagged as a shadow organization role
  When the system processes the flag
  Then the individual should be marked as an opportunity for centralization</t>
    </r>
  </si>
  <si>
    <t>1. All flagged individuals must be categorized as centralization opportunities.
2. Store this categorization for reporting and analytics.</t>
  </si>
  <si>
    <t>US-073</t>
  </si>
  <si>
    <t>As a user, I want to categorize identified shadow org roles
So that potential cost-saving opportunities are clearly reported</t>
  </si>
  <si>
    <r>
      <rPr>
        <b/>
        <sz val="11"/>
        <color rgb="FF000000"/>
        <rFont val="Aptos Narrow"/>
        <scheme val="minor"/>
      </rPr>
      <t>Scenario</t>
    </r>
    <r>
      <rPr>
        <sz val="11"/>
        <color rgb="FF000000"/>
        <rFont val="Aptos Narrow"/>
        <scheme val="minor"/>
      </rPr>
      <t>: Categorize shadow org roles for reporting
  Given individuals are flagged as shadow org roles
  When the system generates the report
  Then the report should include:
    | Individual ID |
    | Normalized EY L1 |
    | Mapped EY L1 |
    | Shadow Org Flag |
    | Centralization Opportunity |</t>
    </r>
  </si>
  <si>
    <t>1. Report must include all flagged individuals with relevant details.
2. Ensure auditability and version control for reports.
3. Handle partial data gracefully (e.g., missing IDs or L1 values).</t>
  </si>
  <si>
    <t>US-074</t>
  </si>
  <si>
    <t>Configure Lever-Based Headcount Impact Settings</t>
  </si>
  <si>
    <t>Capture User Input for Lever Selection</t>
  </si>
  <si>
    <t>As a System User I want to select which levers (Outsource, Shift, Automate) will impact headcount
So that the system can configure process flows accordingly</t>
  </si>
  <si>
    <r>
      <rPr>
        <b/>
        <sz val="11"/>
        <color rgb="FF000000"/>
        <rFont val="Aptos Narrow"/>
        <scheme val="minor"/>
      </rPr>
      <t>Scenario:</t>
    </r>
    <r>
      <rPr>
        <sz val="11"/>
        <color rgb="FF000000"/>
        <rFont val="Aptos Narrow"/>
        <scheme val="minor"/>
      </rPr>
      <t xml:space="preserve"> Capture user input for lever selection
  Given the project configuration page displays checkboxes for levers: Outsource, Shift, Automate
  When the user selects or deselects each checkbox
  Then the system should capture the selection for each lever</t>
    </r>
  </si>
  <si>
    <t>1. UI must display checkboxes for all three levers.
2. User selections must be captured accurately.
3. Default state for each checkbox should be "unchecked".</t>
  </si>
  <si>
    <t>US-075</t>
  </si>
  <si>
    <t>As a System I want to set a "lever being pulled" value for each lever based on user input
So that these values can be referenced in downstream processes</t>
  </si>
  <si>
    <r>
      <rPr>
        <b/>
        <sz val="11"/>
        <color rgb="FF000000"/>
        <rFont val="Aptos Narrow"/>
        <scheme val="minor"/>
      </rPr>
      <t>Scenario:</t>
    </r>
    <r>
      <rPr>
        <sz val="11"/>
        <color rgb="FF000000"/>
        <rFont val="Aptos Narrow"/>
        <scheme val="minor"/>
      </rPr>
      <t xml:space="preserve"> Set lever being pulled value to Yes or No
  Given the user has selected or deselected a checkbox for a lever
  When the system processes the input
  Then the system should set "Lever being pulled - [Lever]" to "Yes" if selected
  And set it to "No" if not selected</t>
    </r>
  </si>
  <si>
    <t>1. For each lever (Outsource, Shift, Automate), create a corresponding flag:
          "Lever being pulled - Outsource"
          "Lever being pulled - Shift"
          "Lever being pulled - Automate"
2. If checkbox is selected → set value to "Yes".
3. If checkbox is not selected → set value to "No".
4. Ensure values are stored for future reference.</t>
  </si>
  <si>
    <t>US-076</t>
  </si>
  <si>
    <t>As a System, I want to store lever configuration values
So that they can be referenced in processes 5–9</t>
  </si>
  <si>
    <r>
      <rPr>
        <b/>
        <sz val="11"/>
        <color rgb="FF000000"/>
        <rFont val="Aptos Narrow"/>
        <scheme val="minor"/>
      </rPr>
      <t>Scenario:</t>
    </r>
    <r>
      <rPr>
        <sz val="11"/>
        <color rgb="FF000000"/>
        <rFont val="Aptos Narrow"/>
        <scheme val="minor"/>
      </rPr>
      <t xml:space="preserve"> Store lever configuration values
  Given lever being pulled values are set for all three levers
  When the system saves the configuration
  Then the values should be stored in the database
  And be retrievable for downstream processes</t>
    </r>
  </si>
  <si>
    <t>1. Store lever configuration in a persistent data store.
2. Ensure values are retrievable by processes 5–9.
3. Maintain audit trail for changes in lever configuration.</t>
  </si>
  <si>
    <t>US-077</t>
  </si>
  <si>
    <t>Calculate Shadow Organization Reassignment and Post-Reorganization Headcount</t>
  </si>
  <si>
    <t>Calculate Shadow Org Assignments and Post-Reassignment Headcount (Function-Level)</t>
  </si>
  <si>
    <t>As a user, I want to collate all L2 processes that map to at least one census row So that I can identify all processes performed by the client organization</t>
  </si>
  <si>
    <r>
      <rPr>
        <b/>
        <sz val="11"/>
        <color rgb="FF000000"/>
        <rFont val="Aptos Narrow"/>
        <scheme val="minor"/>
      </rPr>
      <t>Scenario</t>
    </r>
    <r>
      <rPr>
        <sz val="11"/>
        <color rgb="FF000000"/>
        <rFont val="Aptos Narrow"/>
        <scheme val="minor"/>
      </rPr>
      <t>: Collate L2 processes mapped to census rows
  Given the census file and process mapping from step 3a
  When the system identifies all L2 processes linked to at least one census row
  Then the system should return an array of L2 processes sorted by associated function</t>
    </r>
  </si>
  <si>
    <t>1. System must return all L2 processes mapped to census rows.
2. Sort L2 processes by associated function.
3. If no L2 processes found, return an empty array and log.</t>
  </si>
  <si>
    <t>US-078</t>
  </si>
  <si>
    <t>Count Individuals Correctly Assigned to Function</t>
  </si>
  <si>
    <t>As a user, I want to count individuals whose normalized EY L1 matches EY job nature function So that I can identify correctly assigned headcount</t>
  </si>
  <si>
    <r>
      <rPr>
        <b/>
        <sz val="11"/>
        <color rgb="FF000000"/>
        <rFont val="Aptos Narrow"/>
        <scheme val="minor"/>
      </rPr>
      <t>Scenario</t>
    </r>
    <r>
      <rPr>
        <sz val="11"/>
        <color rgb="FF000000"/>
        <rFont val="Aptos Narrow"/>
        <scheme val="minor"/>
      </rPr>
      <t>: Count individuals with matching normalized EY L1 and job nature function
  Given census rows with normalized EY L1 and EY job nature function
  When the system compares these values for each row
  Then the system should count rows where both values match
  And store the count as "In function cost center with matching job nature"</t>
    </r>
  </si>
  <si>
    <t>1. Count rows where normalized EY L1 = EY job nature function.
2. Store counts per L2 process and function.
3. Log counts for audit and reporting.</t>
  </si>
  <si>
    <t>US-079</t>
  </si>
  <si>
    <t>Count Individuals with Shadow Org Roles (Outgoing)</t>
  </si>
  <si>
    <t>As a user, I want to count individuals where normalized EY L1 matches the function being summarized but EY job nature function does not So that I can identify shadow org roles that need to be centralized out</t>
  </si>
  <si>
    <r>
      <rPr>
        <b/>
        <sz val="11"/>
        <color rgb="FF000000"/>
        <rFont val="Aptos Narrow"/>
        <scheme val="minor"/>
      </rPr>
      <t>Scenario</t>
    </r>
    <r>
      <rPr>
        <sz val="11"/>
        <color rgb="FF000000"/>
        <rFont val="Aptos Narrow"/>
        <scheme val="minor"/>
      </rPr>
      <t>: Count individuals in function cost center with other job nature
  Given census rows with normalized EY L1 and EY job nature function
  When the system processes rows for the function being summarized
  Then count rows where normalized EY L1 matches the function AND EY job nature function differs
  And store the count as "In function cost center with other job nature"</t>
    </r>
  </si>
  <si>
    <t>1. Count rows where normalized EY L1 = function being summarized AND EY job nature ≠ function.
2. Store counts per function.
3. Log for reporting.</t>
  </si>
  <si>
    <t>US-080</t>
  </si>
  <si>
    <t>Count Individuals with Shadow Org Roles (Incoming)</t>
  </si>
  <si>
    <t>As a user, I want to count individuals where normalized EY L1 does NOT match the function being summarized but EY job nature function does So that I can identify shadow org roles that need to be centralized in</t>
  </si>
  <si>
    <r>
      <rPr>
        <b/>
        <sz val="11"/>
        <color rgb="FF000000"/>
        <rFont val="Aptos Narrow"/>
        <scheme val="minor"/>
      </rPr>
      <t>Scenario:</t>
    </r>
    <r>
      <rPr>
        <sz val="11"/>
        <color rgb="FF000000"/>
        <rFont val="Aptos Narrow"/>
        <scheme val="minor"/>
      </rPr>
      <t xml:space="preserve"> Count individuals with shadow headcount for incoming centralization
  Given census rows with normalized EY L1 and EY job nature function
  When the system processes rows for the function being summarized
  Then count rows where normalized EY L1 ≠ function AND EY job nature function = function
  And store the count as "Total shadow headcount"</t>
    </r>
  </si>
  <si>
    <t>1. Count rows where normalized EY L1 ≠ function AND EY job nature = function.
2. Store counts per L2 process and function.
3. If count = 0, store as 0.</t>
  </si>
  <si>
    <t>US-081</t>
  </si>
  <si>
    <t>Aggregate Shadow Headcount by L2 Process</t>
  </si>
  <si>
    <t>As a user, I want to aggregate shadow headcount by L2 process and function So that I can provide detailed reporting</t>
  </si>
  <si>
    <r>
      <rPr>
        <b/>
        <sz val="11"/>
        <color rgb="FF000000"/>
        <rFont val="Aptos Narrow"/>
        <scheme val="minor"/>
      </rPr>
      <t xml:space="preserve">Scenario: </t>
    </r>
    <r>
      <rPr>
        <sz val="11"/>
        <color rgb="FF000000"/>
        <rFont val="Aptos Narrow"/>
        <scheme val="minor"/>
      </rPr>
      <t>Aggregate shadow headcount by L2 process
  Given rows counted as part of total shadow headcount
  When the system groups these rows by L2 process and function
  Then the system should store counts for reporting</t>
    </r>
  </si>
  <si>
    <t>1. Aggregate shadow headcount by L2 process and function.
2. Ensure data integrity for reporting.</t>
  </si>
  <si>
    <t>US-082</t>
  </si>
  <si>
    <t>Calculate Post-Reassignment Headcount</t>
  </si>
  <si>
    <t>As a user. I want to calculate total headcount after shadow org reassignment So that I can provide accurate post-reorganization figures</t>
  </si>
  <si>
    <r>
      <rPr>
        <b/>
        <sz val="11"/>
        <color rgb="FF000000"/>
        <rFont val="Aptos Narrow"/>
        <scheme val="minor"/>
      </rPr>
      <t>Scenario</t>
    </r>
    <r>
      <rPr>
        <sz val="11"/>
        <color rgb="FF000000"/>
        <rFont val="Aptos Narrow"/>
        <scheme val="minor"/>
      </rPr>
      <t>: Calculate total headcount after shadow org assignment
  Given counts for "In function cost center with matching job nature" and "Total shadow headcount"
  When the system adds these values for each L2 process
  Then the system should store the sum as "Total HC after shadow org assignment"</t>
    </r>
  </si>
  <si>
    <t>1. Total HC after shadow org assignment = matching job nature count + shadow headcount.
2. Store per L2 process and function.
3. Log for reporting and output slides.</t>
  </si>
  <si>
    <t>US-083</t>
  </si>
  <si>
    <t>Calculate Lever-Based Headcount Impact Using APQC Benchmarks</t>
  </si>
  <si>
    <t>Calculate Impacted and Remaining Headcount Based on Stop Lever and APQC Benchmarks</t>
  </si>
  <si>
    <t>As a user, I want to list all L2 processes associated with the function being summarized
So that they can serve as anchors for headcount and benchmark calculations</t>
  </si>
  <si>
    <r>
      <rPr>
        <b/>
        <sz val="11"/>
        <color rgb="FF000000"/>
        <rFont val="Aptos Narrow"/>
        <scheme val="minor"/>
      </rPr>
      <t>Scenario:</t>
    </r>
    <r>
      <rPr>
        <sz val="11"/>
        <color rgb="FF000000"/>
        <rFont val="Aptos Narrow"/>
        <scheme val="minor"/>
      </rPr>
      <t xml:space="preserve"> List all L2 processes for the function
  Given the census file and mappings from previous steps
  When the system retrieves all L2 processes linked to the function being summarized
  Then the system should display the list of L2 processes sorted by function</t>
    </r>
  </si>
  <si>
    <t>1. System must retrieve all L2 processes mapped to census rows for the function.
2. Sort processes by function for clarity.
3. If no L2 processes exist, return an empty list and log the issue.</t>
  </si>
  <si>
    <t>Access to APQC database</t>
  </si>
  <si>
    <t>US-084</t>
  </si>
  <si>
    <t>As a user, I want to match the total headcount after shadow org assignment to each L2 process
So that I can use it as the baseline for lever impact calculations</t>
  </si>
  <si>
    <r>
      <rPr>
        <b/>
        <sz val="11"/>
        <color rgb="FF000000"/>
        <rFont val="Aptos Narrow"/>
        <scheme val="minor"/>
      </rPr>
      <t>Scenario:</t>
    </r>
    <r>
      <rPr>
        <sz val="11"/>
        <color rgb="FF000000"/>
        <rFont val="Aptos Narrow"/>
        <scheme val="minor"/>
      </rPr>
      <t xml:space="preserve"> Match total headcount after shadow org assignment
  Given the output from process 5a
  When the system maps headcount values to each L2 process
  Then the system should store these values for further calculations</t>
    </r>
  </si>
  <si>
    <t>1. Each L2 process must have a corresponding headcount value from step 5a.
2. If headcount is missing for any L2 process, log and set value to 0.
3. Ensure mapping integrity for downstream calculations.</t>
  </si>
  <si>
    <t>US-085</t>
  </si>
  <si>
    <t>As a user, I want to retrieve APQC benchmarks for each L2 process
So that I can compare actual headcount against industry standards</t>
  </si>
  <si>
    <r>
      <rPr>
        <b/>
        <sz val="11"/>
        <color rgb="FF000000"/>
        <rFont val="Aptos Narrow"/>
        <scheme val="minor"/>
      </rPr>
      <t>Scenario:</t>
    </r>
    <r>
      <rPr>
        <sz val="11"/>
        <color rgb="FF000000"/>
        <rFont val="Aptos Narrow"/>
        <scheme val="minor"/>
      </rPr>
      <t xml:space="preserve"> Retrieve APQC benchmarks for L2 processes
  Given an APQC benchmark mapping file
  When the system matches each L2 process to its benchmark
  Then the system should retrieve first, second, and third quartile values filtered by revenue and industry</t>
    </r>
  </si>
  <si>
    <t>1. System must retrieve Q1, Q2, Q3 benchmarks for each L2 process.
2. Apply filters for revenue, industry, and other relevant parameters.
3. If benchmark is missing for any L2 process, log and set default values.</t>
  </si>
  <si>
    <t>US-086</t>
  </si>
  <si>
    <t>As a user, I want to calculate impacted headcount for each L2 process So that I can determine how many FTEs will be reduced using the Stop lever</t>
  </si>
  <si>
    <r>
      <rPr>
        <b/>
        <sz val="11"/>
        <color rgb="FF000000"/>
        <rFont val="Aptos Narrow"/>
        <scheme val="minor"/>
      </rPr>
      <t>Scenario 1</t>
    </r>
    <r>
      <rPr>
        <sz val="11"/>
        <color rgb="FF000000"/>
        <rFont val="Aptos Narrow"/>
        <scheme val="minor"/>
      </rPr>
      <t xml:space="preserve">: Calculate impacted headcount when actual &gt; Q3 benchmark
  Given total headcount after shadow org assignment and Q3 benchmark for an L2 process
  When total headcount &gt; Q3 benchmark
  Then impacted headcount = total headcount - Q3 benchmark
  And store this value as "Impacted HC - Stop"
</t>
    </r>
    <r>
      <rPr>
        <b/>
        <sz val="11"/>
        <color rgb="FF000000"/>
        <rFont val="Aptos Narrow"/>
        <scheme val="minor"/>
      </rPr>
      <t>Scenario 2:</t>
    </r>
    <r>
      <rPr>
        <sz val="11"/>
        <color rgb="FF000000"/>
        <rFont val="Aptos Narrow"/>
        <scheme val="minor"/>
      </rPr>
      <t xml:space="preserve"> No impacted headcount when actual ≤ Q3 benchmark
  Given total headcount after shadow org assignment and Q3 benchmark for an L2 process
  When total headcount ≤ Q3 benchmark
  Then impacted headcount = 0
  And store this value as "Impacted HC - Stop"</t>
    </r>
  </si>
  <si>
    <t>1. Impacted HC = total HC - Q3 benchmark if total HC &gt; Q3 benchmark.
2. Impacted HC = 0 if total HC ≤ Q3 benchmark.
3. Ensure impacted HC ≥ 0 for all cases.
4. Log calculations for audit.</t>
  </si>
  <si>
    <t>US-087</t>
  </si>
  <si>
    <t>As a user, I want to calculate remaining headcount after applying the Stop lever
So that I can provide accurate post-lever headcount figures</t>
  </si>
  <si>
    <r>
      <rPr>
        <b/>
        <sz val="11"/>
        <color rgb="FF000000"/>
        <rFont val="Aptos Narrow"/>
        <scheme val="minor"/>
      </rPr>
      <t>Scenario</t>
    </r>
    <r>
      <rPr>
        <sz val="11"/>
        <color rgb="FF000000"/>
        <rFont val="Aptos Narrow"/>
        <scheme val="minor"/>
      </rPr>
      <t>: Calculate remaining headcount after Stop lever
  Given total headcount after shadow org assignment and impacted headcount
  When the system subtracts impacted headcount from total headcount
  Then remaining headcount = total headcount - impacted headcount
  And store this value for reporting</t>
    </r>
  </si>
  <si>
    <t>1. Remaining HC = total HC after shadow org assignment - impacted HC.
2. Remaining HC must be ≥ 0.
3. Store values per L2 process for reporting and output slides.</t>
  </si>
  <si>
    <t>US-088</t>
  </si>
  <si>
    <t>US-089</t>
  </si>
  <si>
    <t>US-090</t>
  </si>
  <si>
    <t>US-091</t>
  </si>
  <si>
    <t>US-092</t>
  </si>
  <si>
    <t>US-093</t>
  </si>
  <si>
    <t>US-094</t>
  </si>
  <si>
    <t>US-095</t>
  </si>
  <si>
    <t>US-096</t>
  </si>
  <si>
    <t>US-097</t>
  </si>
  <si>
    <t>US-098</t>
  </si>
  <si>
    <t>US-099</t>
  </si>
  <si>
    <t>US-100</t>
  </si>
  <si>
    <t>Non-HC Analysis</t>
  </si>
  <si>
    <t>Spend for Synergy</t>
  </si>
  <si>
    <t>Spend File Upload (Non-HC Analysis)</t>
  </si>
  <si>
    <t>As a user, I want to upload PO, GL, Contract, and optional Taxonomy files for Buyer and Target,
So that I can perform Spend analysis accurately.</t>
  </si>
  <si>
    <r>
      <rPr>
        <b/>
        <sz val="11"/>
        <color rgb="FF000000"/>
        <rFont val="Aptos Narrow"/>
        <scheme val="minor"/>
      </rPr>
      <t>Scenario 1:</t>
    </r>
    <r>
      <rPr>
        <sz val="11"/>
        <color rgb="FF000000"/>
        <rFont val="Aptos Narrow"/>
        <scheme val="minor"/>
      </rPr>
      <t xml:space="preserve"> Display upload prompt for Spend
Given Non-HC analysis is selected
When the Summary Screen loads
Then the system should prompt the user to upload:
  - Buyer PO Data
  - Target PO Data
  - Buyer GL Data (optional)
  - Target GL Data (optional)
  - Buyer Contract Data
  - Target Contract Data
  - Buyer Taxonomy (optional)
  - Target Taxonomy (optional)
And display instructions and templates for each
</t>
    </r>
    <r>
      <rPr>
        <b/>
        <sz val="11"/>
        <color rgb="FF000000"/>
        <rFont val="Aptos Narrow"/>
        <scheme val="minor"/>
      </rPr>
      <t>Scenario 2:</t>
    </r>
    <r>
      <rPr>
        <sz val="11"/>
        <color rgb="FF000000"/>
        <rFont val="Aptos Narrow"/>
        <scheme val="minor"/>
      </rPr>
      <t xml:space="preserve"> Validate Spend files
Given the user uploads PO or Contract files
When the system processes the file
Then the system should check for missing mandatory fields in any row
And mark status as "Needs Review" if any missing
</t>
    </r>
    <r>
      <rPr>
        <b/>
        <sz val="11"/>
        <color rgb="FF000000"/>
        <rFont val="Aptos Narrow"/>
        <scheme val="minor"/>
      </rPr>
      <t>Scenario 3:</t>
    </r>
    <r>
      <rPr>
        <sz val="11"/>
        <color rgb="FF000000"/>
        <rFont val="Aptos Narrow"/>
        <scheme val="minor"/>
      </rPr>
      <t xml:space="preserve"> Merger vs Tuck-in logic for Spend
Given the deal type is Merger of Equals
Then all Buyer and Target Spend files are mandatory
Else if deal type is Tuck-in/Acquisition
Then Target files are mandatory and Buyer files optional
</t>
    </r>
  </si>
  <si>
    <t>1. Required fields for PO Data: Cost Centre, Business Unit, Region, Contract No., Invoice Number, Invoice Date, Currency, Ordered Quantity, Unit Price, Total Amount, Item No., Item Description, Manufacturer Name, Manufacturer Item Code, Vendor Name, PO Number, PO Date, UOM, Conversion Factor, Buying Channel, Categories.
2. GL Data optional fields listed.
3. Contract Data required fields listed.
4. Instructions and templates provided for each file type.
5. Instructions include:
         “Ensure all mandatory fields are filled.”
         “File must be in .xls or .xlsx format.”
6. Sample template downloadable.
7. Status indicators: Missing, Uploaded, Needs Review.
 Missing mandatory fields → Needs Review.
8. Display message: “Some rows have missing data. Update file or override to proceed.”
9. Override option available with confirmation.
10. Validation enforced based on deal type.
11. Error message if mandatory file missing: “You must upload Target Census.xlsx before proceeding. Click here for a template.”</t>
  </si>
  <si>
    <t>US-101</t>
  </si>
  <si>
    <t>Identification key fields and standardization</t>
  </si>
  <si>
    <t>Spend</t>
  </si>
  <si>
    <t>Automatic Identification of Key Fields &amp; Standardization</t>
  </si>
  <si>
    <t>As a user, I want the tool to automatically identify key fields in spend, taxonomy, and contracts export files
So that I can quickly map them to normalized column headers without manual effort</t>
  </si>
  <si>
    <r>
      <rPr>
        <sz val="11"/>
        <color rgb="FF000000"/>
        <rFont val="Aptos Narrow"/>
        <scheme val="minor"/>
      </rPr>
      <t xml:space="preserve">
</t>
    </r>
    <r>
      <rPr>
        <b/>
        <sz val="11"/>
        <color rgb="FF000000"/>
        <rFont val="Aptos Narrow"/>
        <scheme val="minor"/>
      </rPr>
      <t>Scenario</t>
    </r>
    <r>
      <rPr>
        <sz val="11"/>
        <color rgb="FF000000"/>
        <rFont val="Aptos Narrow"/>
        <scheme val="minor"/>
      </rPr>
      <t xml:space="preserve">: Auto-detect key fields across supported files
  Given the user uploads spend, taxonomy, and contracts export files
  And the system has a library of normalized headers and detection rules
  When the system scans each file’s headers and samples the data
  Then the system should propose a mapping of source columns to normalized headers
  And assign a confidence score to each proposed mapping
  And flag columns where no confident mapping can be determined
</t>
    </r>
  </si>
  <si>
    <t>1. Detection coverage: Must attempt detection for all uploaded files of types spend, taxonomy, and contracts.
2. Normalized header library: Uses a predefined schema (e.g., Supplier Name, Supplier ID, Invoice Number, PO Number, Cost Center, GL Code, Category, Subcategory, Contract ID, Contract Start/End, Currency, Country, State, Taxonomy Node, etc.).
3. Confidence scoring: Each proposed mapping gets a score (0–100).
              ≥90 = High, 70–89 = Medium, &lt;70 = Low.
4. Flagging: Any column with Low confidence or no match must be flagged “Needs review”.
5. Performance: Detection must complete within 60 seconds for files up to 250k rows / 100 columns.</t>
  </si>
  <si>
    <t>US-102</t>
  </si>
  <si>
    <t>As a System User
I want to review the proposed mappings in a UI
So that I can approve, reject, or adjust mappings before standardization</t>
  </si>
  <si>
    <r>
      <rPr>
        <sz val="11"/>
        <color rgb="FF000000"/>
        <rFont val="Aptos Narrow"/>
        <scheme val="minor"/>
      </rPr>
      <t xml:space="preserve">
</t>
    </r>
    <r>
      <rPr>
        <b/>
        <sz val="11"/>
        <color rgb="FF000000"/>
        <rFont val="Aptos Narrow"/>
        <scheme val="minor"/>
      </rPr>
      <t>Scenario</t>
    </r>
    <r>
      <rPr>
        <sz val="11"/>
        <color rgb="FF000000"/>
        <rFont val="Aptos Narrow"/>
        <scheme val="minor"/>
      </rPr>
      <t xml:space="preserve">: Present proposed mappings for review and approval
  Given the system has generated proposed mappings with confidence scores
  When the user opens the mapping review screen
  Then the UI should display each source column, proposed normalized header, and confidence level
  And allow the user to accept, reject, or change the normalized header
  And allow bulk actions (accept all high confidence, reject all low confidence)
</t>
    </r>
  </si>
  <si>
    <t>1. UI details: Show source column name, sample values, proposed normalized header, confidence score.
2. Actions: Support Accept, Reject, Change to another normalized header from a searchable dropdown.
3. Bulk actions: “Accept all High confidence”, “Reject all Low confidence”.
4. Preview: 20-row sample transformed view per column.
5. Validation: Prevent duplicate mappings to the same normalized header unless allowed by schema (e.g., multiple attribute columns).
6. Accessibility: Keyboard navigation + tooltips for confidence explanation.</t>
  </si>
  <si>
    <t>US-103</t>
  </si>
  <si>
    <t>As a user, I want to manually map unmapped or incorrectly mapped columns
So that the standardized dataset is accurate</t>
  </si>
  <si>
    <r>
      <rPr>
        <b/>
        <sz val="11"/>
        <color rgb="FF000000"/>
        <rFont val="Aptos Narrow"/>
        <scheme val="minor"/>
      </rPr>
      <t xml:space="preserve">
Scenario</t>
    </r>
    <r>
      <rPr>
        <sz val="11"/>
        <color rgb="FF000000"/>
        <rFont val="Aptos Narrow"/>
        <scheme val="minor"/>
      </rPr>
      <t xml:space="preserve">: Manually override a proposed mapping
  Given a proposed mapping is flagged “Needs review”
  When the user selects a different normalized header from the dropdown
  Then the system should update the mapping
  And revalidate for conflicts
  And mark the mapping source as “User override”
</t>
    </r>
  </si>
  <si>
    <t>1. Override: Any mapping can be changed; mark with Override flag.
2. Conflict detection: If the selected normalized header is already used and schema forbids duplicates, show warning and block save.
3. Audit trail: Log who, when, from (old header) to (new header), and reason (optional note).
4. Undo/Redo: Provide undo last change and reset to auto-detected options.</t>
  </si>
  <si>
    <t>US-104</t>
  </si>
  <si>
    <t>As a System User, I want to save validated mappings as templates
So that future files from the same source can be standardized quickly</t>
  </si>
  <si>
    <r>
      <rPr>
        <b/>
        <sz val="11"/>
        <color rgb="FF000000"/>
        <rFont val="Aptos Narrow"/>
        <scheme val="minor"/>
      </rPr>
      <t xml:space="preserve">
Scenario</t>
    </r>
    <r>
      <rPr>
        <sz val="11"/>
        <color rgb="FF000000"/>
        <rFont val="Aptos Narrow"/>
        <scheme val="minor"/>
      </rPr>
      <t xml:space="preserve">: Save validated mapping as a template and reuse
  Given the user has completed validation of all column mappings
  When the user clicks “Save mapping as template”
  Then the system should store the template with source metadata and schema version
  And allow reloading the template on future uploads
  And auto-apply the template when source signature matches
</t>
    </r>
  </si>
  <si>
    <t>1. Template save: Persist mappings with source signature (file name pattern, vendor system, column set hash).
2. Schema versioning: Store schema version to check compatibility on reuse.
3. Auto-apply: When signature matches ≥90% of columns, auto-apply and highlight deviations.
4. Fallback: If mismatches exceed threshold, do not auto-apply; require user validation.</t>
  </si>
  <si>
    <t>US-105</t>
  </si>
  <si>
    <t>As auser, I want the tool to output standardized datasets
So that downstream processes can rely on consistent headers</t>
  </si>
  <si>
    <r>
      <rPr>
        <sz val="11"/>
        <color rgb="FF000000"/>
        <rFont val="Aptos Narrow"/>
        <scheme val="minor"/>
      </rPr>
      <t xml:space="preserve">
</t>
    </r>
    <r>
      <rPr>
        <b/>
        <sz val="11"/>
        <color rgb="FF000000"/>
        <rFont val="Aptos Narrow"/>
        <scheme val="minor"/>
      </rPr>
      <t>Scenario:</t>
    </r>
    <r>
      <rPr>
        <sz val="11"/>
        <color rgb="FF000000"/>
        <rFont val="Aptos Narrow"/>
        <scheme val="minor"/>
      </rPr>
      <t xml:space="preserve"> Generate standardized dataset after validation
  Given all required key fields are mapped and validated
  When the user clicks “Standardize &amp; Export”
  Then the system should transform the input files to normalized headers
  And produce outputs in CSV and Excel formats
  And include a mapping manifest and validation report
</t>
    </r>
  </si>
  <si>
    <t>1. Required key fields per file type must be present and mapped:
         Spend: Supplier ID/Name, Invoice/PO, Amount,          Currency, Date, GL/Cost Center, Category/Subcategory.
        Taxonomy: Category tree (L1–L3+), Node IDs, Descriptions.
         Contracts: Contract ID, Parties, Start/End, Status, Value, Currency.
2. Output formats: CSV and Excel (.xlsx) with normalized headers.
3. Manifests: Include column mapping manifest (source→normalized), confidence summary, and exceptions list.
4. Data integrity: Row counts must match input; no data loss except explicitly dropped unmapped optional columns (must list).</t>
  </si>
  <si>
    <t>US-106</t>
  </si>
  <si>
    <t>As a Compliance Reviewer
I want a complete audit trail and validation report
So that all mappings are traceable and defensible
I want clear handling of edge cases
So that the tool remains reliable in real-world messy data</t>
  </si>
  <si>
    <r>
      <rPr>
        <sz val="11"/>
        <color rgb="FF000000"/>
        <rFont val="Aptos Narrow"/>
        <scheme val="minor"/>
      </rPr>
      <t xml:space="preserve">
</t>
    </r>
    <r>
      <rPr>
        <b/>
        <sz val="11"/>
        <color rgb="FF000000"/>
        <rFont val="Aptos Narrow"/>
        <scheme val="minor"/>
      </rPr>
      <t>Scenario</t>
    </r>
    <r>
      <rPr>
        <sz val="11"/>
        <color rgb="FF000000"/>
        <rFont val="Aptos Narrow"/>
        <scheme val="minor"/>
      </rPr>
      <t xml:space="preserve">: Generate audit trail for detection and validation
  Given the user has finalized mappings
  When the system generates standardized outputs
  Then it should also produce an audit log containing detection scores, overrides, user actions, timestamps, and schema version
  And attach the audit log to the export bundle
</t>
    </r>
  </si>
  <si>
    <t xml:space="preserve">1. Audit log includes: auto-detected mappings, confidence scores, all user overrides, bulk actions, timestamps, user IDs, schema version, and template IDs.
2. Immutable storage: Write-once log retained with export bundle and in system history.
3. Filtering: Ability to filter report by file type, confidence band, overridden vs. auto.
</t>
  </si>
  <si>
    <t>US-107</t>
  </si>
  <si>
    <t>As a Developer,  I want an API to submit files and receive proposed mappings
So that I can integrate the mapping flow into pipelines</t>
  </si>
  <si>
    <r>
      <rPr>
        <sz val="11"/>
        <color rgb="FF000000"/>
        <rFont val="Aptos Narrow"/>
        <scheme val="minor"/>
      </rPr>
      <t xml:space="preserve">
</t>
    </r>
    <r>
      <rPr>
        <b/>
        <sz val="11"/>
        <color rgb="FF000000"/>
        <rFont val="Aptos Narrow"/>
        <scheme val="minor"/>
      </rPr>
      <t>Scenario</t>
    </r>
    <r>
      <rPr>
        <sz val="11"/>
        <color rgb="FF000000"/>
        <rFont val="Aptos Narrow"/>
        <scheme val="minor"/>
      </rPr>
      <t xml:space="preserve">: Submit files to mapping API and receive proposals
  Given an authenticated client posts export files to the mapping endpoint
  When the system processes detection
  Then it should return proposed mappings with confidence scores and required-field status
</t>
    </r>
  </si>
  <si>
    <t>1. Endpoints: /mapping/propose, /mapping/validate, /mapping/export.
2. Response: JSON containing proposed mappings, confidence, required-field status, issues.
3. Errors: Clear error codes for unsupported formats, schema mismatch, auth failures.</t>
  </si>
  <si>
    <t>US-108</t>
  </si>
  <si>
    <t>Data Accuracy and completeness</t>
  </si>
  <si>
    <t>Ensure data accuracy and completeness</t>
  </si>
  <si>
    <t>As a Data Engineer, I want to clean and load raw data into the system So that it is ready for normalization and mapping</t>
  </si>
  <si>
    <t xml:space="preserve">
Scenario: Clean and load raw data
  Given the user uploads raw spend, taxonomy, or contract files
  When the system validates file format and structure
  Then the system should remove empty rows, trim whitespace, and standardize date formats
</t>
  </si>
  <si>
    <t>"1. Supported formats: .csv, .xlsx.
2. Remove empty rows and columns.
3. Trim leading/trailing spaces from all fields.
4. Standardize date formats to YYYY-MM-DD.
5. Validate numeric fields (e.g., amounts) for non-numeric characters.
6. Log all cleaning actions in an audit report."</t>
  </si>
  <si>
    <t>US-109</t>
  </si>
  <si>
    <t>As a user,I want the tool to translate foreign language text to English So that all data is standardized for downstream processing</t>
  </si>
  <si>
    <r>
      <rPr>
        <sz val="11"/>
        <color rgb="FF000000"/>
        <rFont val="Aptos Narrow"/>
        <scheme val="minor"/>
      </rPr>
      <t xml:space="preserve">
</t>
    </r>
    <r>
      <rPr>
        <b/>
        <sz val="11"/>
        <color rgb="FF000000"/>
        <rFont val="Aptos Narrow"/>
        <scheme val="minor"/>
      </rPr>
      <t>Scenario</t>
    </r>
    <r>
      <rPr>
        <sz val="11"/>
        <color rgb="FF000000"/>
        <rFont val="Aptos Narrow"/>
        <scheme val="minor"/>
      </rPr>
      <t xml:space="preserve">: Convert foreign language text to English
  Given the uploaded file contains non-English text in headers or data fields
  When the system detects foreign language content
  Then the system should translate text to English using a predefined dictionary or translation API
  And mark translated fields for review
</t>
    </r>
  </si>
  <si>
    <t>1. Detect language using language identification algorithm.
2. Translate headers and text fields to English.
3. Maintain original text in a separate column for reference.
4. Mark translated fields with a “Translated” flag.
5. Important: Tool does NOT perform currency conversion (must explicitly state in UI).
6. Log all translations in the audit report.</t>
  </si>
  <si>
    <t>US-110</t>
  </si>
  <si>
    <t>As a  user, I want to ingest cleaned and standardized data into an SQL table So that it can be referenced in the backend for normalization and mapping</t>
  </si>
  <si>
    <r>
      <rPr>
        <b/>
        <sz val="11"/>
        <color rgb="FF000000"/>
        <rFont val="Aptos Narrow"/>
        <scheme val="minor"/>
      </rPr>
      <t xml:space="preserve">
Scenario:</t>
    </r>
    <r>
      <rPr>
        <sz val="11"/>
        <color rgb="FF000000"/>
        <rFont val="Aptos Narrow"/>
        <scheme val="minor"/>
      </rPr>
      <t xml:space="preserve"> Load cleaned data into SQL table
  Given the cleaned and standardized data is ready
  When the system processes ingestion
  Then the system should create an SQL table with standardized column names
  And store metadata including source file name, upload timestamp, and schema version
</t>
    </r>
  </si>
  <si>
    <t>1. Create SQL table with normalized column headers.
2. Preserve original column names in metadata table.
3. Store source file name, upload timestamp, schema version.
4. Validate row count matches input file.
5. Handle large files efficiently (up to 1M rows).
6. Log ingestion status and any errors.</t>
  </si>
  <si>
    <t>US-111</t>
  </si>
  <si>
    <t>Spend (for Synergy)</t>
  </si>
  <si>
    <t>As a User, I want to tag buyer and seller data appropriately
So that roles are clearly identified for reporting and analysis</t>
  </si>
  <si>
    <r>
      <rPr>
        <sz val="11"/>
        <color rgb="FF000000"/>
        <rFont val="Aptos Narrow"/>
        <scheme val="minor"/>
      </rPr>
      <t xml:space="preserve">
</t>
    </r>
    <r>
      <rPr>
        <b/>
        <sz val="11"/>
        <color rgb="FF000000"/>
        <rFont val="Aptos Narrow"/>
        <scheme val="minor"/>
      </rPr>
      <t>Scenario</t>
    </r>
    <r>
      <rPr>
        <sz val="11"/>
        <color rgb="FF000000"/>
        <rFont val="Aptos Narrow"/>
        <scheme val="minor"/>
      </rPr>
      <t xml:space="preserve">: Tag buyer and seller based on file naming convention
  Given the uploaded file name contains buyer or seller identifiers
  When the system processes the file
  Then the system should add a new column “Entity Role” with value “Buyer” or “Seller”
  And validate tagging accuracy against naming convention rules
</t>
    </r>
  </si>
  <si>
    <t>1. Detect buyer/seller from file name pattern (e.g., Buyer_Contracts.xlsx, Seller_Spend.csv).
2. Add column Entity Role with value Buyer or Seller.
3. If naming convention is ambiguous, flag for manual review.
4. Allow user override of tagging in UI.
5. Log tagging decisions in audit report.</t>
  </si>
  <si>
    <t>US-112</t>
  </si>
  <si>
    <t>Normalize currency</t>
  </si>
  <si>
    <t>Normalize Currency Based on Project Settings</t>
  </si>
  <si>
    <t>As a System, I want to verify if currency normalization is enabled in project settings
So that I can decide whether to proceed with currency conversion or skip</t>
  </si>
  <si>
    <r>
      <rPr>
        <b/>
        <sz val="11"/>
        <color rgb="FF000000"/>
        <rFont val="Aptos Narrow"/>
        <scheme val="minor"/>
      </rPr>
      <t xml:space="preserve">
Scenario</t>
    </r>
    <r>
      <rPr>
        <sz val="11"/>
        <color rgb="FF000000"/>
        <rFont val="Aptos Narrow"/>
        <scheme val="minor"/>
      </rPr>
      <t xml:space="preserve">: Skip normalization when toggle is OFF
  Given the project creation page has a currency normalization toggle
  When the toggle is set to OFF
  Then the system should skip currency normalization
  And proceed to the next step without conversion
</t>
    </r>
  </si>
  <si>
    <t>1. If toggle = OFF → skip all currency conversion logic.
2. Log decision in audit trail.
3. Display message: “Currency normalization disabled; original currency retained.”</t>
  </si>
  <si>
    <t>US-113</t>
  </si>
  <si>
    <t>As a System, I want to retrieve the standardized currency selected by the user
So that I can use it as the target currency for normalization</t>
  </si>
  <si>
    <r>
      <rPr>
        <b/>
        <sz val="11"/>
        <color rgb="FF000000"/>
        <rFont val="Aptos Narrow"/>
        <scheme val="minor"/>
      </rPr>
      <t xml:space="preserve">
Scenario</t>
    </r>
    <r>
      <rPr>
        <sz val="11"/>
        <color rgb="FF000000"/>
        <rFont val="Aptos Narrow"/>
        <scheme val="minor"/>
      </rPr>
      <t xml:space="preserve">: Retrieve standardized currency from project settings
  Given the user has selected a standardized currency (e.g., USD)
  When the system checks project settings
  Then the system should store the selected currency as the target for normalization
  And validate that the selected currency is supported (e.g., USD, EUR, GBP)
  And if no currency is selected, default to USD and log a w
</t>
    </r>
  </si>
  <si>
    <t>1. Must retrieve selected currency from project configuration.
2. Validate that selected currency is supported (e.g., USD, EUR, GBP).
3. If no currency selected, default to USD and log warning.</t>
  </si>
  <si>
    <t>US-114</t>
  </si>
  <si>
    <t>As a Data Processor, I want to review the currency field in PO, contract, and GL data files
So that I can determine the current currency for each record</t>
  </si>
  <si>
    <r>
      <rPr>
        <b/>
        <sz val="11"/>
        <color rgb="FF000000"/>
        <rFont val="Aptos Narrow"/>
        <scheme val="minor"/>
      </rPr>
      <t xml:space="preserve">
Scenario</t>
    </r>
    <r>
      <rPr>
        <sz val="11"/>
        <color rgb="FF000000"/>
        <rFont val="Aptos Narrow"/>
        <scheme val="minor"/>
      </rPr>
      <t xml:space="preserve">: Identify current currency in uploaded files
  Given PO, contract, and GL data files are uploaded
  When the system scans the currency field in each file
  Then the system should identify the current currency for each record
  And flag any missing or invalid currency codes
</t>
    </r>
  </si>
  <si>
    <t>1. Validate presence of currency field in all files.
2. Normalize currency codes (e.g., “USD”, “US$”, “Dollar” → “USD”).
3. If currency field missing → log error and skip conversion for that record.
4. If invalid currency code → flag for manual review.</t>
  </si>
  <si>
    <t>US-115</t>
  </si>
  <si>
    <t>As a System, I want to compare current currency with standardized currency
So that I can decide whether conversion is needed</t>
  </si>
  <si>
    <r>
      <rPr>
        <sz val="11"/>
        <color rgb="FF000000"/>
        <rFont val="Aptos Narrow"/>
        <scheme val="minor"/>
      </rPr>
      <t xml:space="preserve">
</t>
    </r>
    <r>
      <rPr>
        <b/>
        <sz val="11"/>
        <color rgb="FF000000"/>
        <rFont val="Aptos Narrow"/>
        <scheme val="minor"/>
      </rPr>
      <t>Scenario 1</t>
    </r>
    <r>
      <rPr>
        <sz val="11"/>
        <color rgb="FF000000"/>
        <rFont val="Aptos Narrow"/>
        <scheme val="minor"/>
      </rPr>
      <t xml:space="preserve">: No conversion needed when currencies match
  Given the current currency matches the standardized currency
  When the system processes the record
  Then no conversion should be applied
  And costs should remain unchanged
</t>
    </r>
    <r>
      <rPr>
        <b/>
        <sz val="11"/>
        <color rgb="FF000000"/>
        <rFont val="Aptos Narrow"/>
        <scheme val="minor"/>
      </rPr>
      <t xml:space="preserve"> Scenario 2</t>
    </r>
    <r>
      <rPr>
        <sz val="11"/>
        <color rgb="FF000000"/>
        <rFont val="Aptos Narrow"/>
        <scheme val="minor"/>
      </rPr>
      <t xml:space="preserve">: Given the current currency differs from the standardized currency
  When the system processes the record
  Then the system should call the Open AI websearch API to retrieve the latest conversion rate
  And apply the conversion rate to the following fields:
    | Unit Price     |
    | Total Amount   |
    | Debit (if not blank) |
    | Credit (if not blank) |
  And update these fields to reflect the standardized currency
  And store the original values in separate columns for audit purposes
  And log the conversion details including:
    | Original Currency |
    | Target Currency   |
    | Conversion Rate   |
    | Timestamp         |
</t>
    </r>
  </si>
  <si>
    <t>API Integration:
    Must call Open AI web search API for real-time conversion rate.
    Retry up to 3 times if API fails; fallback to last known rate if retries fail.
Conversion Logic:
      Apply conversion to Unit Price, Total Amount, Debit, and Credit fields.
     Ensure precision up to 2 decimal places.
Audit &amp; Traceability:
     Store original values in separate columns.
     Log conversion details (original currency, target currency, rate, timestamp).
Edge Cases:
      If any financial field is blank, skip conversion for that field.
      If API unavailable, flag record for manual review.</t>
  </si>
  <si>
    <t>US-116</t>
  </si>
  <si>
    <t>Harmonize vendor and manufacturer names</t>
  </si>
  <si>
    <t>Standardize Supplier Names and Create Harmonized Master List</t>
  </si>
  <si>
    <t>As a user I want to standardize supplier names to avoid duplicates and variations So that reporting and analytics are consistent across all datasets</t>
  </si>
  <si>
    <r>
      <rPr>
        <sz val="11"/>
        <color rgb="FF000000"/>
        <rFont val="Aptos Narrow"/>
        <scheme val="minor"/>
      </rPr>
      <t xml:space="preserve">
</t>
    </r>
    <r>
      <rPr>
        <b/>
        <sz val="11"/>
        <color rgb="FF000000"/>
        <rFont val="Aptos Narrow"/>
        <scheme val="minor"/>
      </rPr>
      <t>Scenario:</t>
    </r>
    <r>
      <rPr>
        <sz val="11"/>
        <color rgb="FF000000"/>
        <rFont val="Aptos Narrow"/>
        <scheme val="minor"/>
      </rPr>
      <t xml:space="preserve"> Standardize supplier names to avoid duplicates
  Given the system has a list of supplier names from uploaded files
  When the system detects variations of the same supplier (e.g., "ABC Corp" vs "ABC Corporation")
  Then the system should normalize these names to a single standardized name
</t>
    </r>
  </si>
  <si>
    <t>1. Detect variations using:
           String similarity (e.g., Levenshtein distance).
            Common abbreviations (e.g., Corp → Corporation, Ltd → Limited).
            Case-insensitive comparison.
2. Normalize names to a single canonical form.
3. Maintain a mapping table of original → standardized names.
4. If confidence &lt; threshold (e.g., 85%), flag for manual review.
5. Log all changes for audit.</t>
  </si>
  <si>
    <t>US-117</t>
  </si>
  <si>
    <t>As a User,I want to review and override standardized supplier names So that I can ensure accuracy in cases where automation is uncertain</t>
  </si>
  <si>
    <r>
      <rPr>
        <sz val="11"/>
        <color rgb="FF000000"/>
        <rFont val="Aptos Narrow"/>
        <scheme val="minor"/>
      </rPr>
      <t xml:space="preserve">
</t>
    </r>
    <r>
      <rPr>
        <b/>
        <sz val="11"/>
        <color rgb="FF000000"/>
        <rFont val="Aptos Narrow"/>
        <scheme val="minor"/>
      </rPr>
      <t>Scenario:</t>
    </r>
    <r>
      <rPr>
        <sz val="11"/>
        <color rgb="FF000000"/>
        <rFont val="Aptos Narrow"/>
        <scheme val="minor"/>
      </rPr>
      <t xml:space="preserve"> Manual override of standardized supplier name
  Given the system has proposed standardized names with confidence scores
  When the user reviews the mapping
  Then the user should be able to accept, reject, or override the standardized name
</t>
    </r>
  </si>
  <si>
    <t>1. Display original name, proposed standardized name, confidence score.
2. Allow user to override with a custom name.
3. Mark overridden mappings with an “Override” flag.
4. Log user actions (who, when, old value, new value).
5. Provide bulk approval for high-confidence matches.</t>
  </si>
  <si>
    <t>US-118</t>
  </si>
  <si>
    <t>As a user, I want to create a master list of harmonized supplier names So that it can feed into the golden database for future projects</t>
  </si>
  <si>
    <r>
      <rPr>
        <sz val="11"/>
        <color rgb="FF000000"/>
        <rFont val="Aptos Narrow"/>
        <scheme val="minor"/>
      </rPr>
      <t xml:space="preserve">
</t>
    </r>
    <r>
      <rPr>
        <b/>
        <sz val="11"/>
        <color rgb="FF000000"/>
        <rFont val="Aptos Narrow"/>
        <scheme val="minor"/>
      </rPr>
      <t>Scenario</t>
    </r>
    <r>
      <rPr>
        <sz val="11"/>
        <color rgb="FF000000"/>
        <rFont val="Aptos Narrow"/>
        <scheme val="minor"/>
      </rPr>
      <t xml:space="preserve">: Generate harmonized master supplier list
  Given all supplier names have been standardized and validated
  When the system compiles the final list
  Then the system should create a master list of unique standardized supplier names
  And store it in the golden database for reuse
</t>
    </r>
  </si>
  <si>
    <t>1. Master list must contain unique standardized names only.
2. Include metadata: source files, date of creation, version.
3. Store in golden database for future projects.
4. Validate against existing master list to prevent duplicates.
5. Export as CSV and Excel for reporting.</t>
  </si>
  <si>
    <t>US-119</t>
  </si>
  <si>
    <t>Seek Supplier parent company</t>
  </si>
  <si>
    <t>Seek Supplier Parent Company via LLM Intelligence</t>
  </si>
  <si>
    <t>As a user,I want the system to construct a custom prompt and query an LLM to identify supplier parent companies So that I can enrich supplier records with parent relationships</t>
  </si>
  <si>
    <r>
      <rPr>
        <sz val="11"/>
        <color rgb="FF000000"/>
        <rFont val="Aptos Narrow"/>
        <scheme val="minor"/>
      </rPr>
      <t xml:space="preserve">
</t>
    </r>
    <r>
      <rPr>
        <b/>
        <sz val="11"/>
        <color rgb="FF000000"/>
        <rFont val="Aptos Narrow"/>
        <scheme val="minor"/>
      </rPr>
      <t>Scenario</t>
    </r>
    <r>
      <rPr>
        <sz val="11"/>
        <color rgb="FF000000"/>
        <rFont val="Aptos Narrow"/>
        <scheme val="minor"/>
      </rPr>
      <t xml:space="preserve">: Construct prompt and query LLM for parent company
  Given a list of standardized supplier names with optional metadata (country, URL, registry ID)
  And an approved prompt template is configured
  When the system generates a supplier-specific prompt including name and available metadata
  And sends the prompt to the LLM
  Then the system should receive a structured response containing:
    | parent_company_name | confidence | sources | notes |
  And validate the response format against the schema
</t>
    </r>
  </si>
  <si>
    <t>1. Prompt template must include: supplier name, country (if available), industry (if available), “return JSON” instruction, and do not invent data caveat.
2. Response schema must be strictly validated; malformed responses are rejected and retried (max 2 retries).
3. Timeouts: LLM call must complete within 30 seconds per batch.
4. Rate limits handled via queue/throttling (configurable).</t>
  </si>
  <si>
    <t>US-120</t>
  </si>
  <si>
    <t>As a user, I want to normalize LLM-returned parent company names So that duplicates and variations map to a single canonical parent record</t>
  </si>
  <si>
    <r>
      <rPr>
        <sz val="11"/>
        <color rgb="FF000000"/>
        <rFont val="Aptos Narrow"/>
        <scheme val="minor"/>
      </rPr>
      <t xml:space="preserve">
</t>
    </r>
    <r>
      <rPr>
        <b/>
        <sz val="11"/>
        <color rgb="FF000000"/>
        <rFont val="Aptos Narrow"/>
        <scheme val="minor"/>
      </rPr>
      <t>Scenario</t>
    </r>
    <r>
      <rPr>
        <sz val="11"/>
        <color rgb="FF000000"/>
        <rFont val="Aptos Narrow"/>
        <scheme val="minor"/>
      </rPr>
      <t xml:space="preserve">: Canonicalize parent company names
  Given LLM responses with parent_company_name values
  When the system applies normalization rules
  Then it should map variations (e.g., "ABC Holdings Inc." vs "ABC Holdings") to a single canonical parent
  And persist the original and canonical forms in a mapping table
</t>
    </r>
  </si>
  <si>
    <t>1. Apply standardization rules (case folding, punctuation removal, legal suffix expansion e.g., Inc/Corp/Ltd).
2. Use fuzzy matching (threshold configurable; default ≥ 0.90) + alias dictionary.
3. Create parent_canonical_id; store original_name → canonical_name with match_score and method (rule/fuzzy/alias).
4. Conflicts (two distinct canonicals within threshold) → flag for review.</t>
  </si>
  <si>
    <t>US-121</t>
  </si>
  <si>
    <t>As a user, I want confidence bands with a human-in-the-loop review So that uncertain parent mappings are validated before use</t>
  </si>
  <si>
    <r>
      <rPr>
        <sz val="11"/>
        <color rgb="FF000000"/>
        <rFont val="Aptos Narrow"/>
        <scheme val="minor"/>
      </rPr>
      <t xml:space="preserve">
</t>
    </r>
    <r>
      <rPr>
        <b/>
        <sz val="11"/>
        <color rgb="FF000000"/>
        <rFont val="Aptos Narrow"/>
        <scheme val="minor"/>
      </rPr>
      <t>Scenario:</t>
    </r>
    <r>
      <rPr>
        <sz val="11"/>
        <color rgb="FF000000"/>
        <rFont val="Aptos Narrow"/>
        <scheme val="minor"/>
      </rPr>
      <t xml:space="preserve"> Apply confidence bands and route to review
  Given a parent mapping result has confidence &lt;threshold&gt;
  When the system evaluates confidence against bands
  Then the result should be &lt;routing&gt;
  And the UI should display original supplier, proposed parent, score, and sources
</t>
    </r>
  </si>
  <si>
    <t>1. High (≥0.90) → auto-approve; no reviewer needed.
2. Medium (0.70–0.89) → routed to review queue; reviewer can approve/reject/override.
3. Low (&lt;0.70) → blocking; must be manually resolved.
4. Reviewer actions are fully audited (user, time, old/new value, reason).</t>
  </si>
  <si>
    <t>US-122</t>
  </si>
  <si>
    <t>As a user, I want the LLM output to include public references/sources so that parent relationships are traceable and defensible</t>
  </si>
  <si>
    <r>
      <rPr>
        <sz val="11"/>
        <color rgb="FF000000"/>
        <rFont val="Aptos Narrow"/>
        <scheme val="minor"/>
      </rPr>
      <t xml:space="preserve">
</t>
    </r>
    <r>
      <rPr>
        <b/>
        <sz val="11"/>
        <color rgb="FF000000"/>
        <rFont val="Aptos Narrow"/>
        <scheme val="minor"/>
      </rPr>
      <t>Senario:</t>
    </r>
    <r>
      <rPr>
        <sz val="11"/>
        <color rgb="FF000000"/>
        <rFont val="Aptos Narrow"/>
        <scheme val="minor"/>
      </rPr>
      <t xml:space="preserve"> Require sources in LLM output and store for audit
  Given an LLM response includes a list of sources (URLs or registry identifiers)
  When the system validates and stores the response
  Then it should persist the sources alongside the parent mapping
  And include sources in audit/export bundles
</t>
    </r>
  </si>
  <si>
    <t>1. At least one verifiable source (e.g., company registry, investor relations page, reputable database).
2. If sources are missing → mark Needs verification.
3. Sources and notes stored with parent_canonical_id, supplier_id.</t>
  </si>
  <si>
    <t>US-123</t>
  </si>
  <si>
    <t>As a user, I want to persist the validated supplier→parent mappings So that they feed a golden database for future consistency</t>
  </si>
  <si>
    <r>
      <rPr>
        <sz val="11"/>
        <color rgb="FF000000"/>
        <rFont val="Aptos Narrow"/>
        <scheme val="minor"/>
      </rPr>
      <t xml:space="preserve">
</t>
    </r>
    <r>
      <rPr>
        <b/>
        <sz val="11"/>
        <color rgb="FF000000"/>
        <rFont val="Aptos Narrow"/>
        <scheme val="minor"/>
      </rPr>
      <t>Scenario</t>
    </r>
    <r>
      <rPr>
        <sz val="11"/>
        <color rgb="FF000000"/>
        <rFont val="Aptos Narrow"/>
        <scheme val="minor"/>
      </rPr>
      <t xml:space="preserve">: Persist validated mappings to golden database
  Given parent mappings are approved (auto or manual)
  When the system writes to storage
  Then it should upsert into the golden database:
    | supplier_canonical_id | parent_canonical_id | confidence | sources | version |
  And maintain history with effective_start and effective_end dates
</t>
    </r>
  </si>
  <si>
    <t>1. Update existing mapping; retain history via SCD2 (slowly changing dimensions).
2. Versioning and effective dating required.
3. Reject writes if parent_canonical_id missing.
4. Export CSV/Excel + JSON manifest for downstream use.</t>
  </si>
  <si>
    <t>US-124</t>
  </si>
  <si>
    <t>As a user, I want caching of prior parent lookups
So that repeated suppliers do not trigger new LLM calls</t>
  </si>
  <si>
    <r>
      <rPr>
        <sz val="11"/>
        <color rgb="FF000000"/>
        <rFont val="Aptos Narrow"/>
        <scheme val="minor"/>
      </rPr>
      <t xml:space="preserve">
</t>
    </r>
    <r>
      <rPr>
        <b/>
        <sz val="11"/>
        <color rgb="FF000000"/>
        <rFont val="Aptos Narrow"/>
        <scheme val="minor"/>
      </rPr>
      <t>Scenario</t>
    </r>
    <r>
      <rPr>
        <sz val="11"/>
        <color rgb="FF000000"/>
        <rFont val="Aptos Narrow"/>
        <scheme val="minor"/>
      </rPr>
      <t xml:space="preserve">: Reuse cached parent mapping when supplier recurs
  Given a supplier_canonical_id already has a validated parent_canonical_id
  When a new dataset includes the same supplier
  Then the system should reuse the cached mapping
  And skip LLM calls unless a “force refresh” flag is set
</t>
    </r>
  </si>
  <si>
    <t>1. Cache keyed by supplier_canonical_id + context (country/industry) when relevant.
2. Force refresh supported per supplier or batch.
3. Cache hit/miss stats reported; default TTL = 180 days (configurable).</t>
  </si>
  <si>
    <t>US-125</t>
  </si>
  <si>
    <t>As a user, I want the system to prevent sending PII or sensitive contract data to the LLM So that privacy and compliance are maintained</t>
  </si>
  <si>
    <r>
      <rPr>
        <sz val="11"/>
        <color rgb="FF000000"/>
        <rFont val="Aptos Narrow"/>
        <scheme val="minor"/>
      </rPr>
      <t xml:space="preserve">
</t>
    </r>
    <r>
      <rPr>
        <b/>
        <sz val="11"/>
        <color rgb="FF000000"/>
        <rFont val="Aptos Narrow"/>
        <scheme val="minor"/>
      </rPr>
      <t>Scenario:</t>
    </r>
    <r>
      <rPr>
        <sz val="11"/>
        <color rgb="FF000000"/>
        <rFont val="Aptos Narrow"/>
        <scheme val="minor"/>
      </rPr>
      <t xml:space="preserve"> Strip PII and sensitive fields before LLM calls
  Given supplier records include contact or contract details
  When the system prepares the LLM prompt
  Then it should exclude any PII and sensitive fields
  And only send supplier name and public metadata
</t>
    </r>
  </si>
  <si>
    <t>1. Redaction policy enforced: no emails, phone numbers, addresses, contract values, account numbers.
2. Allowlist of fields permitted in prompts (name, country, website).
3. Security logs record prompt payload hashes; raw prompts not stored.</t>
  </si>
  <si>
    <t>US-126</t>
  </si>
  <si>
    <t>As a Developer, I want resilient error handling
So that processing continues even if LLM calls fail</t>
  </si>
  <si>
    <r>
      <rPr>
        <sz val="11"/>
        <color rgb="FF000000"/>
        <rFont val="Aptos Narrow"/>
        <scheme val="minor"/>
      </rPr>
      <t xml:space="preserve">
</t>
    </r>
    <r>
      <rPr>
        <b/>
        <sz val="11"/>
        <color rgb="FF000000"/>
        <rFont val="Aptos Narrow"/>
        <scheme val="minor"/>
      </rPr>
      <t>Scenario:</t>
    </r>
    <r>
      <rPr>
        <sz val="11"/>
        <color rgb="FF000000"/>
        <rFont val="Aptos Narrow"/>
        <scheme val="minor"/>
      </rPr>
      <t xml:space="preserve"> Handle LLM errors and fall back gracefully
  Given an LLM call results in &lt;error_type&gt;
  When the system processes the response
  Then it should &lt;fallback_behavior&gt;
  And log the error with correlation ID
Examples:
  | error_type      | fallback_behavior                        |
  | timeout         | retry with exponential backoff (max 3)   |
  | 429 rate-limit  | queue and postpone                       |
  | malformed JSON  | re-prompt with stricter schema           |
  | empty response  | mark as Unresolved; route to review      |
</t>
    </r>
  </si>
  <si>
    <t>1. Retries: exponential backoff, max 3; after failure → Unresolved status.
2. All errors logged with correlation ID, timestamp, supplier_id.
3. Batch continues; failed items are isolated.</t>
  </si>
  <si>
    <t>US-127</t>
  </si>
  <si>
    <t>As a Reviewer, I want an interface to triage uncertain mappings
So that I can correct parent assignments quickly</t>
  </si>
  <si>
    <r>
      <rPr>
        <sz val="11"/>
        <color rgb="FF000000"/>
        <rFont val="Aptos Narrow"/>
        <scheme val="minor"/>
      </rPr>
      <t xml:space="preserve">
</t>
    </r>
    <r>
      <rPr>
        <b/>
        <sz val="11"/>
        <color rgb="FF000000"/>
        <rFont val="Aptos Narrow"/>
        <scheme val="minor"/>
      </rPr>
      <t xml:space="preserve">Scenario: </t>
    </r>
    <r>
      <rPr>
        <sz val="11"/>
        <color rgb="FF000000"/>
        <rFont val="Aptos Narrow"/>
        <scheme val="minor"/>
      </rPr>
      <t xml:space="preserve">Review and override uncertain mappings
  Given a queue of Medium/Low confidence mappings
  When the reviewer opens an item
  Then the UI should show supplier details, proposed parent, confidence, sources
  And allow Approve, Reject, Override (search canonical parent), or Request more evidence
</t>
    </r>
  </si>
  <si>
    <t>1. Search canonical parents; create new canonical parent if none exists.
2. Bulk actions for Medium-band items.
3. Comments required on Reject/Override.
4. Changes reflected immediately and audit logged.</t>
  </si>
  <si>
    <t>US-128</t>
  </si>
  <si>
    <t>As a User, I want reports of supplier→parent coverage and confidence So that I understand data quality and next actions</t>
  </si>
  <si>
    <r>
      <rPr>
        <sz val="11"/>
        <color rgb="FF000000"/>
        <rFont val="Aptos Narrow"/>
        <scheme val="minor"/>
      </rPr>
      <t xml:space="preserve">
</t>
    </r>
    <r>
      <rPr>
        <b/>
        <sz val="11"/>
        <color rgb="FF000000"/>
        <rFont val="Aptos Narrow"/>
        <scheme val="minor"/>
      </rPr>
      <t>Scenario:</t>
    </r>
    <r>
      <rPr>
        <sz val="11"/>
        <color rgb="FF000000"/>
        <rFont val="Aptos Narrow"/>
        <scheme val="minor"/>
      </rPr>
      <t xml:space="preserve"> Produce coverage and quality report
  Given the processing run has completed
  When the system generates a report
  Then it should include:
    | total suppliers | mapped suppliers | auto-approved | human-approved | unresolved |
    | confidence distribution | top sources used | overrides count |
  And export as CSV/Excel and a PDF summary
</t>
    </r>
  </si>
  <si>
    <t>1. Must include coverage metrics, confidence histogram, review backlog size.
2. Drill-down by industry/country (if available).
3. Retain reports with run ID and date.</t>
  </si>
  <si>
    <t>US-129</t>
  </si>
  <si>
    <t>Define Client Taxonomy &amp; Map Using LLM (Primary Reference)</t>
  </si>
  <si>
    <t>As a user, I want to use the client’s uploaded taxonomy as the primary reference So that all subsequent mappings conform to the client’s structure</t>
  </si>
  <si>
    <r>
      <rPr>
        <sz val="11"/>
        <color rgb="FF000000"/>
        <rFont val="Aptos Narrow"/>
        <scheme val="minor"/>
      </rPr>
      <t xml:space="preserve">
</t>
    </r>
    <r>
      <rPr>
        <b/>
        <sz val="11"/>
        <color rgb="FF000000"/>
        <rFont val="Aptos Narrow"/>
        <scheme val="minor"/>
      </rPr>
      <t>Scenario:</t>
    </r>
    <r>
      <rPr>
        <sz val="11"/>
        <color rgb="FF000000"/>
        <rFont val="Aptos Narrow"/>
        <scheme val="minor"/>
      </rPr>
      <t xml:space="preserve"> Load client taxonomy and set as primary reference
  Given the client has uploaded a taxonomy file in step 1a
  When the system validates and loads the taxonomy
  Then the system should mark the client taxonomy as "Primary Reference"
  And store its schema, version, and effective date
</t>
    </r>
  </si>
  <si>
    <t>1. Supported formats: .csv, .xlsx, .json.
2. Primary flag: Set a system-level flag that points to the client taxonomy (primary).
3. Metadata stored: filename, version, upload timestamp, source, schema hash.
4. If no client taxonomy is provided, do not set primary; log and prompt to upload (no silent fallback to EY taxonomy).
5. Re-uploads with same schema hash will not duplicate; they update version with proper effective dating.</t>
  </si>
  <si>
    <t>US-130</t>
  </si>
  <si>
    <t>As a user, I want to validate the uploaded taxonomy
So that the hierarchy and identifiers are reliable for mapping</t>
  </si>
  <si>
    <r>
      <rPr>
        <sz val="11"/>
        <color rgb="FF000000"/>
        <rFont val="Aptos Narrow"/>
        <scheme val="minor"/>
      </rPr>
      <t xml:space="preserve">
</t>
    </r>
    <r>
      <rPr>
        <b/>
        <sz val="11"/>
        <color rgb="FF000000"/>
        <rFont val="Aptos Narrow"/>
        <scheme val="minor"/>
      </rPr>
      <t xml:space="preserve">Scenario: </t>
    </r>
    <r>
      <rPr>
        <sz val="11"/>
        <color rgb="FF000000"/>
        <rFont val="Aptos Narrow"/>
        <scheme val="minor"/>
      </rPr>
      <t xml:space="preserve">Validate taxonomy schema and hierarchical integrity
  Given a client taxonomy with levels (e.g., L1, L2, L3) and codes
  When the system runs schema and integrity checks
  Then it should confirm:
    And level completeness (no missing required levels)
    And uniqueness of codes per level
    And valid parent-child links (no cycles, no orphans)
    And consistent naming conventions
  And produce a validation report with errors and warnings
</t>
    </r>
  </si>
  <si>
    <t>1. Hierarchy checks: No cycles; all children have valid parents; no dangling nodes.
2. Uniqueness: Codes/IDs unique per level; names can differ but flagged if exact duplicates exist within level.
3. Conventions: Code formats (regex), max length, allowed characters.
4. Multi-language labels: Detect non-English labels; normalize or flag.
5. Blocking vs. non-blocking: Critical failures block primary flag; warnings allow continuation but must be logged.</t>
  </si>
  <si>
    <t>US-131</t>
  </si>
  <si>
    <t>As a user, I want to use LLM-intelligence to map into the client taxonomy format So that our internal taxonomy aligns to the client’s reference structure</t>
  </si>
  <si>
    <r>
      <rPr>
        <sz val="11"/>
        <color rgb="FF000000"/>
        <rFont val="Aptos Narrow"/>
        <scheme val="minor"/>
      </rPr>
      <t xml:space="preserve">
</t>
    </r>
    <r>
      <rPr>
        <b/>
        <sz val="11"/>
        <color rgb="FF000000"/>
        <rFont val="Aptos Narrow"/>
        <scheme val="minor"/>
      </rPr>
      <t>Scenario:</t>
    </r>
    <r>
      <rPr>
        <sz val="11"/>
        <color rgb="FF000000"/>
        <rFont val="Aptos Narrow"/>
        <scheme val="minor"/>
      </rPr>
      <t xml:space="preserve"> Construct prompt and map EY taxonomy nodes to client taxonomy
  Given the client taxonomy is set as Primary Reference
  And an approved prompt template is configured
  When the system generates prompts for each EY node (with node name, description, examples)
  And sends them to the LLM
  Then the system should receive a structured response containing:
    | client_level | client_code | client_name | confidence | rationale |
  And validate the response against the schema
</t>
    </r>
  </si>
  <si>
    <t xml:space="preserve">1. Prompt template includes: EY node name, definition/description, sample activities, instruction to return strict JSON, “do not invent” caveat.
2. Response validation: Reject malformed responses and retry up to 2 times with stricter schema.
3. Confidence scoring: Numeric [0–1] or [0–100]; categorized High (≥0.9), Medium (0.7–0.89), Low (&lt;0.7).
4. PII safety: Only taxonomy text; no transactional or sensitive data in prompts.
5. Latency controls: Batch rate-limited; per-call timeout ≤30 seconds.
</t>
  </si>
  <si>
    <t>US-132</t>
  </si>
  <si>
    <t>As a user I want consistency checks after LLM mapping
So that mapped EY nodes align cleanly with the client’s taxonomy levels and codes</t>
  </si>
  <si>
    <r>
      <rPr>
        <b/>
        <sz val="11"/>
        <color rgb="FF000000"/>
        <rFont val="Aptos Narrow"/>
        <scheme val="minor"/>
      </rPr>
      <t xml:space="preserve">
Scenario:</t>
    </r>
    <r>
      <rPr>
        <sz val="11"/>
        <color rgb="FF000000"/>
        <rFont val="Aptos Narrow"/>
        <scheme val="minor"/>
      </rPr>
      <t xml:space="preserve"> Validate mapping consistency and coverage
  Given LLM mappings for EY nodes to client nodes
  When the system cross-validates level alignment and code existence in the client taxonomy
  Then it should confirm no level misalignment, code mismatches, or duplicates
  And produce a coverage report indicating mapped vs. unmapped nodes
</t>
    </r>
  </si>
  <si>
    <t>1. Level alignment: EY L1→Client L1, EY L2→Client L2 (configurable rules supported).
2. Code existence: Returned client_code must exist in Primary taxonomy.
3. Duplicates: An EY node must not map to multiple distinct client nodes unless rules allow (one-to-many flagged and routed to review).
4. Coverage: % of EY nodes mapped ≥ defined threshold (e.g., 95%) or escalate.
5. Idempotency: Re-running mapping on same inputs yields no drift (unless client taxonomy changed version).</t>
  </si>
  <si>
    <t>US-133</t>
  </si>
  <si>
    <t>As a user I want to review low/medium confidence mappings
So that final mappings are accurate and defensible</t>
  </si>
  <si>
    <t xml:space="preserve">
Scenario: Triage and override uncertain LLM mappings
  Given mappings with confidence below threshold
  When the reviewer opens the mapping queue
  Then the UI should display EY node, proposed client node, confidence, rationale
  And allow Approve, Reject, or Override (search client taxonomy)
  And require comments on Reject/Override
</t>
  </si>
  <si>
    <t>1. Thresholds: High auto-approve; Medium → queue; Low → mandatory manual resolution.
2. Override search: Search client taxonomy by name/code; select correct node.
3. Bulk actions: Approve all High, triage Medium with pagination.
4. Audit: Record user, timestamp, old/new mapping, reasons.
5. Accessibility: Keyboard navigation, tooltips for confidence/rationale.</t>
  </si>
  <si>
    <t>US-134</t>
  </si>
  <si>
    <t>As a Data Engineer
I want to persist validated mappings and versions
So that they can be reused and audited over time</t>
  </si>
  <si>
    <t xml:space="preserve">
Scenario: Save mapping dictionary and maintain history
  Given mappings are approved (auto or manual)
  When the system writes to storage
  Then it should upsert a mapping dictionary with:
    | ey_node_id | client_node_id | confidence | source (LLM/User) | primary_version |
</t>
  </si>
  <si>
    <t>1. Upsert logic with SCD2 effective dating.
2. Referential integrity: client_node_id must exist in 3. 3. Primary taxonomy (current version).
4. Rollback: Support rollback to prior version.
5. Export: Provide CSV/XLSX + JSON manifest for downstream flows.</t>
  </si>
  <si>
    <t>US-135</t>
  </si>
  <si>
    <t>As a User I want a report summarizing mapping completeness and issues
So that I can track readiness and gaps</t>
  </si>
  <si>
    <t xml:space="preserve">
Scenario: Produce mapping coverage and quality report
  Given a mapping run has completed
  When the system generates the report
  Then it should include:
    | total EY nodes | mapped | unmapped | auto-approved | user-overridden |
    | confidence distribution | level alignment issues | duplicates |
  And store the report with run ID and timestamp
</t>
  </si>
  <si>
    <t>1. KPIs: Coverage %, # of issues, # of overrides, distribution by levels.
2. Filters: By level (L1/L2/L3), by function, by confidence band.
3. Retention: Reports persisted with run IDs.</t>
  </si>
  <si>
    <t>US-136</t>
  </si>
  <si>
    <t>As a user I want resilient processing and caching
So that mapping is repeatable and cost-effective</t>
  </si>
  <si>
    <t xml:space="preserve">
Scenario: Handle LLM and data errors with graceful fallbacks
  Given a mapping operation encounters &lt;error_type&gt;
  When the system processes the error
  Then it should &lt;fallback_behavior&gt;
  And log the error with correlation ID
Examples:
  | error_type        | fallback_behavior                           |
  | LLM timeout       | retry with backoff (max 3) then queue review |
  | rate-limit (429)  | throttle and postpone batch                  |
  | malformed response| re-prompt with stricter schema               |
  | missing client code | mark unmapped and route to reviewer        |
</t>
  </si>
  <si>
    <t>1. Retries with exponential backoff; max 3.
2. Queueing for rate-limit or persistent failures.
3. Cache previous mappings keyed by EY node + client taxonomy version to avoid redundant LLM calls.
4. Observability: Metrics for hits/misses, retries, failures.</t>
  </si>
  <si>
    <t>US-137</t>
  </si>
  <si>
    <t>Produce client deliverables as direct outputs</t>
  </si>
  <si>
    <t>Output Generation</t>
  </si>
  <si>
    <t>Generate Client Deliverables and Output Summary Tables</t>
  </si>
  <si>
    <t>As a user, I want to generate a cleansed and categorized census file So that the client receives a standardized and accurate dataset</t>
  </si>
  <si>
    <t xml:space="preserve">
Scenario: Generate cleansed and categorized census file
  Given the census data has been processed through all normalization and mapping steps
  When the system prepares the output
  Then the system should produce a cleansed census file with standardized columns
  And include mapped EY L1, EY L2, client function, and job nature function
</t>
  </si>
  <si>
    <t>1. Remove duplicates and invalid rows.
2. Include standardized columns:
            Employee ID, Name, Normalized EY L1, EY L2,      Client Function (EY L1 equivalent), Job Nature Function.
3. Ensure row count matches input (except removed invalid rows).
4. Export in CSV and Excel (.xlsx) formats.
5. Attach audit log of transformations.</t>
  </si>
  <si>
    <t>US-138</t>
  </si>
  <si>
    <t>As a User I want a summary table grouping EY L2 processes under EY L1 So that I can view process distribution by EY hierarchy</t>
  </si>
  <si>
    <t xml:space="preserve">
Scenario: Generate summary table grouping EY L2 by EY L1
  Given all EY L1 and EY L2 mappings are complete
  When the system generates the summary
  Then the table should display EY L1 as parent rows and EY L2 processes grouped under each EY L1
  And include headcount counts for each EY L2 process
</t>
  </si>
  <si>
    <t xml:space="preserve">1. Table format:
       Columns: EY L1 | EY L2 | Headcount | % of Total.
2. Sort EY L1 alphabetically; EY L2 grouped under respective EY L1.
3. Include totals per EY L1 and overall total.
4. Export as Excel .
</t>
  </si>
  <si>
    <t>US-139</t>
  </si>
  <si>
    <t>As a User I want a summary table grouping EY L2 processes under client function (EY L1 equivalent)
So that I can view process distribution by client’s organizational structure</t>
  </si>
  <si>
    <t xml:space="preserve">
Scenario: Generate summary table grouping EY L2 by client function
  Given client function mappings are complete
  When the system generates the summary
  Then the table should display client function as parent rows and EY L2 processes grouped under each client function
  And include headcount counts for each EY L2 process
</t>
  </si>
  <si>
    <t>1. Table format:
          Columns: Client Function | EY L2 | Headcount | % of Total.
2. Sort client functions alphabetically.
3. Include totals per client function and overall total.
4. Export as Excel .</t>
  </si>
  <si>
    <t>US-140</t>
  </si>
  <si>
    <t>As a  User I want a summary table showing EY L1 to EY L2 mapping
So that I can validate hierarchical consistency</t>
  </si>
  <si>
    <t xml:space="preserve">
Scenario: Generate EY L1 to EY L2 mapping table
  Given EY taxonomy mapping is complete
  When the system generates the mapping table
  Then the table should list EY L1 and corresponding EY L2 processes
  And include headcount counts for each EY L2 process
</t>
  </si>
  <si>
    <t>1. Columns: EY L1 | EY L2 | Headcount.
2. Include totals per EY L1.
3. Export as Excel .</t>
  </si>
  <si>
    <t>US-141</t>
  </si>
  <si>
    <t>As a  User I want a summary table showing client function to EY L2 mapping So that I can validate alignment between client structure and EY taxonomy</t>
  </si>
  <si>
    <t xml:space="preserve">
Scenario: Generate client function to EY L2 mapping table
  Given client function mappings are complete
  When the system generates the mapping table
  Then the table should list client function and corresponding EY L2 processes
  And include headcount counts for each EY L2 process
</t>
  </si>
  <si>
    <t xml:space="preserve">1. Columns: Client Function | EY L2 | Headcount.
2. Include totals per client function.
3. Export as Excel
</t>
  </si>
  <si>
    <t>US-142</t>
  </si>
  <si>
    <t>Consolidated Dashboard</t>
  </si>
  <si>
    <t>Provide a consolidated dashboard container</t>
  </si>
  <si>
    <t xml:space="preserve">As a User I want a single dashboard within the tool that aggregates spend &amp; compliance metrics
So that I can monitor performance and identify opportunities quickly
</t>
  </si>
  <si>
    <t xml:space="preserve">
Scenario: Render consolidated dashboard shell
  Given the user navigates to the Dashboard module
  When the system loads the default view
  Then the dashboard should display tiles for key KPIs and charts for Census spend &amp; compliance
  And provide filter controls for period, BU, category, supplier, currency, and region
</t>
  </si>
  <si>
    <t>1. Visible sections: KPIs, Spend Distribution, Vendor Coverage &amp; Tail, Maverick Spend, Seasonality &amp; Trends, Contract Compliance.
2. Filters: Date range, BU, category hierarchy, supplier, region/country, currency (view-only; no conversion performed here).
3. Data-refresh timestamp and environment (e.g., “Prod”).
4. Empty-state messages for filters that yield no data.</t>
  </si>
  <si>
    <t>US-143</t>
  </si>
  <si>
    <t>Total spend by BU/category/supplier visualizations</t>
  </si>
  <si>
    <t>As a  User.,  want charts for total spend by BU, category, and supplier So that I can see distribution and top contributors</t>
  </si>
  <si>
    <t xml:space="preserve">
Scenario: Show total spend by BU, category, and supplier
  Given spend data is available for the selected period and filters
  When the system aggregates spend by BU, category, and supplier
  Then it should render:
    And a bar chart for spend by BU
    And a treemap or stacked bar for spend by category hierarchy
    And a Pareto (ranked bar) for spend by supplier
  And totals across all visuals must equal the filtered dataset’s total spend
</t>
  </si>
  <si>
    <t>1. Aggregation rules:
         Spend = sum of approved invoices/POs in filtered period.
        Exclude canceled/voided transactions.
2. Category hierarchy: L1→L2→L3 drilldown enabled.
3. Totals across visuals must equal the filtered total spend (± rounding tolerance ≤ 0.01%).
4. Tooltips show value, % of total, count of transactions.
5. Export underlying aggregated tables to CSV/XLSX.</t>
  </si>
  <si>
    <t>US-144</t>
  </si>
  <si>
    <t>As a User, I want vendor count metrics and identification of vendors covering top 80% of spend
So that I can focus on strategic suppliers and manage the tail</t>
  </si>
  <si>
    <t xml:space="preserve">
Scenario: Compute vendor counts and top-80% coverage list
  Given supplier-level spend is aggregated
  When the system ranks suppliers by spend and computes cumulative percentages
  Then it should label suppliers contributing up to 80% of total spend as “Top Coverage”
  And compute:
    And total vendor count
    And count of coverage vendors
    And tail vendor count = total vendors - coverage vendors
  And display a table of coverage suppliers with spend and % cumulative
</t>
  </si>
  <si>
    <t>1. Sorting: Descending by spend; cumulative % recalculated after filters applied.
2. Totals must reconcile: coverage + tail = total vendor count.
3. Edge case: If a single supplier &gt;80%, coverage list contains 1; tail = total - 1.
4. Provide CSV/XLSX export of coverage list.</t>
  </si>
  <si>
    <t>US-145</t>
  </si>
  <si>
    <t>As a user, I want a view of tail vendors
So that I can target consolidation opportunities</t>
  </si>
  <si>
    <t xml:space="preserve">
Scenario: Visualize tail vendors
  Given vendor coverage metrics are computed
  When the system isolates tail vendors (outside the top 80%)
  Then it should render:
    And a distribution chart (e.g., histogram) of tail vendor spend
    And a table of top 20 tail vendors by spend
</t>
  </si>
  <si>
    <t>1. Tail definition: Outside top-80% coverage list.
2. Chart bins configurable (default 10 bins).
3. Provide filters for minimum spend thresholds to hide negligible entries.</t>
  </si>
  <si>
    <t>US-146</t>
  </si>
  <si>
    <t>As a user, I want % maverick spend
So that I can measure off-contract/off-policy buying</t>
  </si>
  <si>
    <t xml:space="preserve">
Scenario: Calculate % maverick spend
  Given contract linkage and policy flags are present
  When the system classifies transactions as compliant vs. non-compliant
  Then it should compute:
    And maverick spend = sum(non-compliant spend)
    And % maverick = maverick spend / total spend * 100
  And display a KPI and a breakdown by BU and category
</t>
  </si>
  <si>
    <t>1. Compliant criteria (configurable): Has valid contract ID, approved supplier, correct category, policy flag not violated.
2. Non-compliant (maverick): Missing/invalid contract or policy violations.
3. % values must be accurate and totals for compliant + non-compliant = 100% (± rounding tolerance ≤ 0.01%).
4. Drill to transaction-level listing for audit.</t>
  </si>
  <si>
    <t>US-147</t>
  </si>
  <si>
    <t>As a User, I want monthly/quarterly trend charts
So that I can understand seasonality and momentum</t>
  </si>
  <si>
    <t xml:space="preserve">
Scenario: Display seasonality and trends
  Given time-series spend data for the selected period
  When the system aggregates monthly and quarterly totals
  Then it should render:
    And a line chart for monthly spend trend
    And a seasonal decomposition view (YoY comparison if available)
</t>
  </si>
  <si>
    <t>1. Support: Monthly and quarterly groupings; show YoY comparison when prior-year data exists.
2. Handle missing months: Display zero bars; no interpolation.
3. Tooltips: Month, spend, % change vs prior period.</t>
  </si>
  <si>
    <t>US-148</t>
  </si>
  <si>
    <t>Contract compliance dashboard section</t>
  </si>
  <si>
    <t>As a user, I want contract compliance rates and drilldowns
So that I can identify gaps by BU/category/supplier</t>
  </si>
  <si>
    <t xml:space="preserve">
Scenario: Show contract compliance metrics and breakdowns
  Given contract metadata is linked to spend transactions
  When the system computes compliance per BU, category, and supplier
  Then it should render:
    And a KPI tile for overall compliance %
    And bar charts by BU and category
    And a table of non-compliant suppliers with reasons
</t>
  </si>
  <si>
    <t>1. Compliance % = compliant spend / total spend * 100.
2. Reasons dimension: missing contract, expired contract, supplier not approved, pricing variance beyond threshold.
3. Totals by dimension must add up to 100% by construction (compliant + non-compliant).
4. Export non-compliant supplier table.</t>
  </si>
  <si>
    <t>US-149</t>
  </si>
  <si>
    <t>Accuracy checks, totals = 100%, and formatting consistency</t>
  </si>
  <si>
    <t xml:space="preserve">As a User, I want robust validation rules
So that metrics are accurate, reconcilable, and consistently formatted
</t>
  </si>
  <si>
    <t xml:space="preserve">
Scenario: Validate dashboard accuracy and formatting
  Given all metrics are computed
  When the system runs validation
  Then totals for stacked/percentage visuals must equal 100% (±0.01%)
  And total spend across sections must reconcile with the filtered dataset
  And numeric formatting must follow:
    | Currency: symbol + thousand separators + 2 decimals |
    | Percentages: 1 decimal place (e.g., 12.3%)          |
    | Dates: YYYY-MM-DD                                   |
</t>
  </si>
  <si>
    <t>1. Reconciliation: Top-level total spend = sum of BU totals = sum of category totals = sum of supplier totals (within rounding).
2. Visual checks: stacked charts (e.g., compliant/non-compliant) sum to 100%.
3. Formatting consistency across tiles, charts, and tables.
4. Validation errors block publication and display an error banner.</t>
  </si>
  <si>
    <t>US-150</t>
  </si>
  <si>
    <t>Interactivity (filters, drill-down, cross-highlighting)</t>
  </si>
  <si>
    <t>As a  User I want filters and interactive drill-down
So that I can explore data and root causes</t>
  </si>
  <si>
    <t xml:space="preserve">
Scenario: Provide filters, drill-downs, and cross-highlighting
  Given the user selects a BU/category/supplier in any chart
  When the selection is applied
  Then all visuals must cross-filter to the selection
  And drill-down from category L1→L2→L3 must be supported
  And clicking a KPI navigates to the relevant detail view
</t>
  </si>
  <si>
    <t>1. Cross-filtering is consistent across all visuals in &lt;500ms for datasets ≤1M rows.
2. Reset filters button returns to default state.
3. Persist filter state in URL (deep links) or session.</t>
  </si>
  <si>
    <t>US-151</t>
  </si>
  <si>
    <t>Performance and stability</t>
  </si>
  <si>
    <t xml:space="preserve">As a user, I want the dashboard to load and interact smoothly
So that users can rely on it during analysis
</t>
  </si>
  <si>
    <t xml:space="preserve">
Scenario: Meet performance SLAs
  Given a dataset up to 1M transactions and 10k suppliers
  When the dashboard loads
  Then initial load must complete within 2 minutes
  And interactions (filter, sort, drill) must respond within 500ms
</t>
  </si>
  <si>
    <t>1. Pre-aggregations/caches enabled.
2. Lazy loading for tables; pagination for long lists.
3. Error handling with retry for transient failures.</t>
  </si>
  <si>
    <t>US-152</t>
  </si>
  <si>
    <t>Security &amp; access control</t>
  </si>
  <si>
    <t>As a user I want role-based access to dashboard data
So that sensitive information is protected</t>
  </si>
  <si>
    <t xml:space="preserve">
Scenario: Enforce role-based access and data scoping
  Given user role and BU entitlements
  When the user opens the dashboard
  Then the data must be scoped to authorized BUs/categories/suppliers
  And exports must honor the same scoping
</t>
  </si>
  <si>
    <t>1. RBAC applied to API queries and UI.
2. Audit user actions: filter changes, exports, drill-downs (timestamp + user ID).
3. Mask sensitive supplier attributes where policy requires.</t>
  </si>
  <si>
    <t>US-153</t>
  </si>
  <si>
    <t>Generate CSV File for PowerBI Visualization</t>
  </si>
  <si>
    <t>As a user, I want to generate a structured CSV file
So that it supports PowerBI visualization and further analysis with minimal manipulation</t>
  </si>
  <si>
    <t xml:space="preserve">
Scenario: Generate structured CSV for PowerBI
  Given the processed and cleansed spend data is available
  When the system generates the output file
  Then the CSV should include standardized columns:
    | Supplier Name | Category | Subcategory | BU | Spend Amount | Currency | Contract Compliance | Date |
  And ensure column headers match PowerBI template requirements
  And export the file in UTF-8 encoding
</t>
  </si>
  <si>
    <t>1. Columns must follow PowerBI schema (predefined template).
2. Include all mapped fields (supplier, category hierarchy, BU, spend, compliance flags).
3. Encoding: UTF-8 without BOM.
4. No merged cells or hidden characters.
5. Validate row count matches input dataset.
6. File size optimized for faster download (≤100MB per file split if needed).
7. Provide timestamp and version in filename (e.g., SpendData_YYYYMMDD_v1.csv).</t>
  </si>
  <si>
    <t>US-154</t>
  </si>
  <si>
    <t>As a  User I want the CSV to require minimal manual changes
So that it can be uploaded directly to PowerBI dashboards</t>
  </si>
  <si>
    <t xml:space="preserve">
Scenario: Validate CSV structure for direct PowerBI upload
  Given the CSV file is generated
  When the user opens the file
  Then the column names and data types should match PowerBI schema
  And numeric fields should be formatted as numbers without currency symbols
  And date fields should be in YYYY-MM-DD format
</t>
  </si>
  <si>
    <t>1. Numeric fields: no commas, no currency symbols.
2. Date fields: ISO format (YYYY-MM-DD).
3. No blank headers or duplicate column names.
4. Validate schema before export; block if mismatched.</t>
  </si>
  <si>
    <t>US-155</t>
  </si>
  <si>
    <t>Generate Excel File with Lever Analysis and Contract Data</t>
  </si>
  <si>
    <t>As a  User I want an Excel file that includes lever analysis pages and contract details
So that I can review and share final outputs easily</t>
  </si>
  <si>
    <t xml:space="preserve">
Scenario: Generate Excel file with lever analysis and contract data
  Given lever analysis and contract data are finalized
  When the system generates the Excel file
  Then the file should include:
    | Lever Analysis Sheet |
    | Contract Details Sheet |
  And apply consistent formatting and headers
</t>
  </si>
  <si>
    <t>Sheets:
Lever Analysis: Outsource, Automate, Shift levers with impacted HC and cost savings.
Contract Details: Supplier name, contract ID, start/end dates, compliance status.
Apply conditional formatting for compliance flags.
Include summary tables and charts as per template model.</t>
  </si>
  <si>
    <t>US-156</t>
  </si>
  <si>
    <t>As a  User I want embedded formulas in the lever analysis sheet
So that calculations are transparent and auditable</t>
  </si>
  <si>
    <t xml:space="preserve">
Scenario: Embed formulas for lever calculations
  Given lever analysis metrics are computed
  When the system generates the Excel file
  Then formulas should be embedded for:
    | Impacted HC Calculation |
    | Remaining HC Calculation |
    | Cost Savings Calculation |
  And formulas should reference visible cells (not hidden)
</t>
  </si>
  <si>
    <t>Formulas must match logic from diligence calculator template.
No hard-coded values; all calculations dynamic.
Protect formula cells from accidental edits but allow user to view them.</t>
  </si>
  <si>
    <t>US-157</t>
  </si>
  <si>
    <t>As a User I want instructions for merging spend data manually
So that I can complete the final lever analysis</t>
  </si>
  <si>
    <t xml:space="preserve">
Scenario: Provide instructions for manual spend data merge
  Given the Excel file is generated
  When the user opens the file
  Then the system should include a “ReadMe” sheet with steps:
    | Copy spend data into Spend tab |
    | Validate row count |
    | Refresh pivot tables |
</t>
  </si>
  <si>
    <t>Include clear instructions in a dedicated sheet.
Highlight mandatory fields for spend tab.
Provide validation checks (row count, column alignment).</t>
  </si>
  <si>
    <t>US-158</t>
  </si>
  <si>
    <t>Generate summary output</t>
  </si>
  <si>
    <t>Consolidated Savings Summary</t>
  </si>
  <si>
    <t>As a user I want a consolidated summary output with savings initiatives categorized by type
So that stakeholders can see baseline and savings ranges (low/high) across categories</t>
  </si>
  <si>
    <t xml:space="preserve">
Scenario: Produce consolidated summary by category
  Given baseline spend is available for HC, Non-HC, and Real Estate
  And savings percentages (low and high) are defined for each category
  When the system generates the consolidated summary
  Then the output should include rows per category with columns:
    | Category | Baseline Spend | Low Savings % | High Savings % | Low Savings $ | High Savings $ |
  And display a subtotal per category group and a grand total row
</t>
  </si>
  <si>
    <t xml:space="preserve">Required categories: HC, Non-HC, Real Estate (exact labels).
Columns present: Category, Baseline Spend, Low Savings %, High Savings %, Low Savings $, High Savings $.
Low Savings $ = Baseline Spend × Low Savings %.
High Savings $ = Baseline Spend × High Savings %.
Subtotals: Sum of baseline and savings (low/high) per category group if the category contains sub-rows.
Grand Total: Sum across all categories for Baseline, Low $, and High $.
</t>
  </si>
  <si>
    <t>As a user I want strict validation of calculations and totals
So that results are accurate, defensible, and consistent with the template</t>
  </si>
  <si>
    <t xml:space="preserve">
Scenario: Validate summary calculations and totals
  Given category-level baseline and savings percentages
  When the system computes low and high savings amounts
  Then each computed amount must equal Baseline × % (± 0.01 rounding tolerance)
  And category subtotals must equal the sum of constituent rows
  And grand totals must equal the sum of category subtotals
</t>
  </si>
  <si>
    <t>Precision: Use currency rounding to 2 decimals; percentages to 1 decimal place.
Reconciliation: Category subtotals + grand totals reconcile exactly within a tolerance of ≤ 0.01 due to rounding.
Blocking behavior: If any total fails reconciliation beyond tolerance, block export and present error with row references.
Audit: Store computed values and checksums (baseline, low/high amounts, totals).</t>
  </si>
  <si>
    <t>As a  User I want the summary to match the “Consolidated Summary” template
So that the output is familiar and presentation-ready</t>
  </si>
  <si>
    <t xml:space="preserve">
Scenario: Render consolidated summary to match template
  Given the consolidated summary is generated
  When the system formats the output
  Then it should apply:
    And category section headers (HC, Non-HC, Real Estate)
    And bold subtotal and total rows
    And currency format with thousand separators and 2 decimals
</t>
  </si>
  <si>
    <t>Headers: Fixed order—HC, Non-HC, Real Estate, followed by Grand Total.
Styling: Subtotals in bold; grand total highlighted.
Number formats: Currency (e.g., ₹1,234,567.89 or $1,234,567.89 depending on locale setting), Percent (X.Y%).
Unit consistency: All baseline and savings displayed in the same currency unit dictated by project settings (no conversion performed in this step).</t>
  </si>
  <si>
    <t>As a user I want the ability to override savings percentages and add assumptions/notes
So that the summary reflects scenario-specific decisions</t>
  </si>
  <si>
    <t xml:space="preserve">
Scenario: Allow overrides and capture notes
  Given default savings percentages are pre-populated
  When the user applies overrides to low/high savings %
  Then the system should recompute savings $ accordingly
  And record the override, user ID, timestamp, and an optional note
</t>
  </si>
  <si>
    <t>Override fields: Low % and High % per category are editable.
Recomputation: Low/High $ update instantly and recalculations flow to subtotals/totals.
Audit trail: Store previous value, new value, user, timestamp, and note.
Validation: Percent must be between 0% and 100%; otherwise block with error.</t>
  </si>
  <si>
    <t>As a user I want to export the consolidated summary
So that I can share it with stakeholders and include it in deliverables</t>
  </si>
  <si>
    <t xml:space="preserve">
Scenario: Export consolidated summary to Excel and PDF
  Given the consolidated summary has passed validation
  When the user clicks Export
  Then the system should generate:
    And an Excel file matching the template layout
    And a PDF summary with the same content and formatting
  And embed metadata: run ID, timestamp, scenario name, and currency unit
</t>
  </si>
  <si>
    <t>Excel: Template-compliant worksheet with formulas where relevant (e.g., Low $ = Baseline × Low %).</t>
  </si>
  <si>
    <t>As a Developer
I want an endpoint to retrieve consolidated summary data
So that I can integrate it in dashboards or external reports</t>
  </si>
  <si>
    <t xml:space="preserve">
Scenario: Provide API for consolidated summary
  Given validated consolidated summary data exists
  When a client requests the summary via API
  Then return JSON containing category rows, subtotals, grand totals, and metadata
</t>
  </si>
  <si>
    <t>Endpoint: /summary/consolidated
Response: JSON with arrays for categories and totals; includes currency symbol/code.
Error handling: Return specific errors for missing data or validation failures.</t>
  </si>
  <si>
    <t>Document Dependencies</t>
  </si>
  <si>
    <t>Sample documents required from Stakeholders</t>
  </si>
  <si>
    <t>Link for sample documents</t>
  </si>
  <si>
    <t>Census Input file</t>
  </si>
  <si>
    <r>
      <rPr>
        <u/>
        <sz val="11"/>
        <color rgb="FF467886"/>
        <rFont val="Aptos Narrow"/>
        <scheme val="minor"/>
      </rPr>
      <t xml:space="preserve">Synthetic_Airline_Input File.xlsx
https://eyus.sharepoint.com/:x:/s/SaTGenAIModernization-Americas/Ed8DUiR5tg9JsXXq8EupRb0BWOXskvsGkwMQ0ExJjNQjQg?e=ThUjHi
 https://eyus.sharepoint.com/:x:/s/SaTGenAIModernization-Americas/EW5qcYYzLMpJsPC_Dae1LUABwYkZiagex9e9dDd_HWXh9Q?e=tfbGso
</t>
    </r>
    <r>
      <rPr>
        <u/>
        <sz val="11"/>
        <color rgb="FF467886"/>
        <rFont val="Aptos Narrow"/>
        <scheme val="minor"/>
      </rPr>
      <t xml:space="preserve">
</t>
    </r>
  </si>
  <si>
    <t>Census Output file (Tuck In)</t>
  </si>
  <si>
    <t>https://eyus.sharepoint.com/:x:/s/SaTGenAIModernization-Americas/ESxGvKZU8qxOgE9ZiowhfkABV6iUbCWD0JD_V-C3WddmjA?e=XJ9Xt2</t>
  </si>
  <si>
    <t xml:space="preserve">PO Data Input File (Spend) </t>
  </si>
  <si>
    <t>Process Flows Context FilePack_20250912 - CC WIP.xlsx</t>
  </si>
  <si>
    <t>GL Data Input file</t>
  </si>
  <si>
    <t>Contract data Input File</t>
  </si>
  <si>
    <t>Spend Output files (Tuck-in)</t>
  </si>
  <si>
    <t>Synthetic IT Spend_Excel Output.xlsx</t>
  </si>
  <si>
    <t>Census template</t>
  </si>
  <si>
    <t>Shreyas to share</t>
  </si>
  <si>
    <t>Spend Template</t>
  </si>
  <si>
    <t>Output Generation (Merger of Equals)</t>
  </si>
  <si>
    <t>Expected output</t>
  </si>
  <si>
    <t>To be finalized by Shreyas/Harshal</t>
  </si>
  <si>
    <t xml:space="preserve">Spend </t>
  </si>
  <si>
    <t>Consolidated output generation</t>
  </si>
  <si>
    <t>Data Base Dependencies</t>
  </si>
  <si>
    <t>Access Available for Dev Team</t>
  </si>
  <si>
    <t>APQC</t>
  </si>
  <si>
    <t>Yes</t>
  </si>
  <si>
    <t>4 files</t>
  </si>
  <si>
    <t>Capital IQ</t>
  </si>
  <si>
    <t>clustures</t>
  </si>
  <si>
    <t>Comment</t>
  </si>
  <si>
    <t>Open AI API with Web search capabilities provided by Competetive Edge team</t>
  </si>
  <si>
    <t>yes</t>
  </si>
  <si>
    <t>provide option for the user to edit the currency rate in the tool</t>
  </si>
  <si>
    <t>Data upload limitations</t>
  </si>
  <si>
    <t>Rows Maximum</t>
  </si>
  <si>
    <t>Columns Max</t>
  </si>
  <si>
    <t>File Size</t>
  </si>
  <si>
    <t>Gaurdrails (to be implemented for Synergy)</t>
  </si>
  <si>
    <t>300K</t>
  </si>
  <si>
    <t>No limitation. However recently faced issue with one of the client file with more than 160 columns and had more textual information</t>
  </si>
  <si>
    <t>No fixed file size</t>
  </si>
  <si>
    <t>1. The user should remove the columns that are not relevant for Census calculation
2. The current solution cannot handle data more than 300K rows. leverage Databricks / look for other solutions in Capital edge platfrom to handle processing huge files.</t>
  </si>
  <si>
    <t>500K - 600K rows</t>
  </si>
  <si>
    <t>More than 4M records use data bricks to be used</t>
  </si>
  <si>
    <t>Infra Resource Requirements to be provisioned in Capital Edge Dev Env</t>
  </si>
  <si>
    <t>Status Inprogress. Capital Edge Cevops team is currently working on provisioning the infra resources</t>
  </si>
  <si>
    <t>Azure OpenAI Service</t>
  </si>
  <si>
    <t>Azure Web Apps – for both Backend and Frontend</t>
  </si>
  <si>
    <t>Azure Storage Account - Blob</t>
  </si>
  <si>
    <t>Azure SQL Database</t>
  </si>
  <si>
    <t>Azure Data Factory</t>
  </si>
  <si>
    <t>Azure Storage Queue - part of blob storage</t>
  </si>
  <si>
    <t>Azure AI Translator</t>
  </si>
  <si>
    <t>Redis Cache</t>
  </si>
  <si>
    <t>Azure Databricks Workspace</t>
  </si>
  <si>
    <t>Azure Board - Epic, story, task creation</t>
  </si>
  <si>
    <t>Azure Devops - CI/CD pipeline</t>
  </si>
  <si>
    <t>Azure AI Search</t>
  </si>
  <si>
    <t>Azure Key Vault</t>
  </si>
  <si>
    <t>APIM</t>
  </si>
  <si>
    <t>Timeline</t>
  </si>
  <si>
    <t>UI design</t>
  </si>
  <si>
    <t xml:space="preserve">Initiate UI developement. Need to align with CE UI-UX team </t>
  </si>
  <si>
    <t>API Development</t>
  </si>
  <si>
    <t xml:space="preserve">Expose APIs for </t>
  </si>
  <si>
    <t>Census - 2-3 weeks
Spend: 6-8 weeks</t>
  </si>
  <si>
    <t>Architecture</t>
  </si>
  <si>
    <t>KT from CE PMO team on development and integration to CE (PMO)</t>
  </si>
  <si>
    <t xml:space="preserve">Infra Resource Requirements to be provisioned in Capital Edge Dev Env (Azure Data Factory, Azure Blob Storage, Azure OpenAI Service :  
Redis Cache:  
Azure AI Search: Search Instance: euwqsatinpazs01, Doc Index: synergyai-synergyai-prjdocs
Azure SQL Database:and Function app)
</t>
  </si>
  <si>
    <t>Screen</t>
  </si>
  <si>
    <t>Design Estimates (in hours)</t>
  </si>
  <si>
    <t>FE Development Estimates (in hours)</t>
  </si>
  <si>
    <t>BE Development(in hours)</t>
  </si>
  <si>
    <t>Total FE</t>
  </si>
  <si>
    <t>Total BE</t>
  </si>
  <si>
    <t>FE effort with current resource</t>
  </si>
  <si>
    <t xml:space="preserve">FE Sprint </t>
  </si>
  <si>
    <t>BE effort with current resource</t>
  </si>
  <si>
    <t xml:space="preserve">BE Sprint </t>
  </si>
  <si>
    <t>Project Architecture/Setup env</t>
  </si>
  <si>
    <t>Home Screen</t>
  </si>
  <si>
    <t>Creation of new project &amp; data upload</t>
  </si>
  <si>
    <t>Census workflow/ HC Analysis</t>
  </si>
  <si>
    <t>2,3</t>
  </si>
  <si>
    <t>Spend workflow</t>
  </si>
  <si>
    <t>4,5</t>
  </si>
  <si>
    <t>Consolidation Screen/ Engine module</t>
  </si>
  <si>
    <t>6,7</t>
  </si>
  <si>
    <t>Testing and deployment</t>
  </si>
  <si>
    <t>Buffer</t>
  </si>
  <si>
    <t>No of resources</t>
  </si>
  <si>
    <t>Total</t>
  </si>
  <si>
    <t>1 sprint = 2 weeks</t>
  </si>
  <si>
    <t>No of days required to complete</t>
  </si>
  <si>
    <t>No of weeks required to complete</t>
  </si>
  <si>
    <t>Total no of weeks required to complete the MVP development</t>
  </si>
  <si>
    <t>10 weeks</t>
  </si>
  <si>
    <t>Total sprint</t>
  </si>
  <si>
    <t>Jan 5th to May 19th</t>
  </si>
  <si>
    <t>Week 1</t>
  </si>
  <si>
    <t>Week 2</t>
  </si>
  <si>
    <t>Week 3</t>
  </si>
  <si>
    <t>Week 4</t>
  </si>
  <si>
    <t>Week 5</t>
  </si>
  <si>
    <t>Week 6</t>
  </si>
  <si>
    <t>Week 7</t>
  </si>
  <si>
    <t>Week 8</t>
  </si>
  <si>
    <t>Week 9</t>
  </si>
  <si>
    <t>Week 10</t>
  </si>
  <si>
    <t>Week 11</t>
  </si>
  <si>
    <t>Week 12</t>
  </si>
  <si>
    <t>Week 13</t>
  </si>
  <si>
    <t>Week 14</t>
  </si>
  <si>
    <t>Week 15</t>
  </si>
  <si>
    <t>Week 16</t>
  </si>
  <si>
    <t>UX</t>
  </si>
  <si>
    <t>Tool</t>
  </si>
  <si>
    <t>Design Phase</t>
  </si>
  <si>
    <t xml:space="preserve">Release </t>
  </si>
  <si>
    <t>Creation of new project &amp; data upload with CE theam</t>
  </si>
  <si>
    <t>first week of Jan</t>
  </si>
  <si>
    <t>16th</t>
  </si>
  <si>
    <t>2nd week of Jan</t>
  </si>
  <si>
    <t>3rd week</t>
  </si>
  <si>
    <t>30th</t>
  </si>
  <si>
    <t>4th week</t>
  </si>
  <si>
    <t>Task</t>
  </si>
  <si>
    <t>Resource</t>
  </si>
  <si>
    <t>Project Creation (SQL Data base)</t>
  </si>
  <si>
    <t>Census (Tuck in)</t>
  </si>
  <si>
    <t>Spend (Tuck in)</t>
  </si>
  <si>
    <t>Census (Merger of Equals: Normalization, Mapping,  data upload)</t>
  </si>
  <si>
    <t>Spend (Merger of Equals: Normalization, Mapping,  data upload)</t>
  </si>
  <si>
    <t>Consolidated output generation (Consolidated Census file)</t>
  </si>
  <si>
    <t>Census (Merger of Equals: consolidation, Tagging of buyer and target and Currency Conversion)</t>
  </si>
  <si>
    <t>Spend (Merger of Equals: consolidation, tagging of Buyer and Target and Currency Conversion)</t>
  </si>
  <si>
    <t>Consolidated output generation (Consolidated Spend file)</t>
  </si>
  <si>
    <t>1,2</t>
  </si>
  <si>
    <t>3,4</t>
  </si>
  <si>
    <t>5,6</t>
  </si>
  <si>
    <t>7,8</t>
  </si>
  <si>
    <t>13 weeks</t>
  </si>
  <si>
    <t>Jan 5th to April 24th</t>
  </si>
  <si>
    <t>Week1</t>
  </si>
  <si>
    <t>Week2</t>
  </si>
  <si>
    <t>Week3</t>
  </si>
  <si>
    <t>Week4</t>
  </si>
  <si>
    <t>Week5</t>
  </si>
  <si>
    <t>Week6</t>
  </si>
  <si>
    <t>Week7</t>
  </si>
  <si>
    <t>Week8</t>
  </si>
  <si>
    <t>Week9</t>
  </si>
  <si>
    <t>Week10</t>
  </si>
  <si>
    <t>Week11</t>
  </si>
  <si>
    <t>Week12</t>
  </si>
  <si>
    <t>Week13</t>
  </si>
  <si>
    <t>Week14</t>
  </si>
  <si>
    <t>Week15</t>
  </si>
  <si>
    <t>Week16</t>
  </si>
  <si>
    <t>Week17</t>
  </si>
  <si>
    <t>Week18</t>
  </si>
  <si>
    <t>Milestone/Task</t>
  </si>
  <si>
    <t>Status</t>
  </si>
  <si>
    <t>Start Date</t>
  </si>
  <si>
    <t>End Date</t>
  </si>
  <si>
    <t>Duration (Days)</t>
  </si>
  <si>
    <t>Progress</t>
  </si>
  <si>
    <t>Day 1</t>
  </si>
  <si>
    <t>Day 2</t>
  </si>
  <si>
    <t>Day 3</t>
  </si>
  <si>
    <t>Day 4</t>
  </si>
  <si>
    <t>Day 5</t>
  </si>
  <si>
    <t>Milestone</t>
  </si>
  <si>
    <t>Requirement planning and UX design</t>
  </si>
  <si>
    <t>Not Started</t>
  </si>
  <si>
    <t>TBD</t>
  </si>
  <si>
    <t>Sprint 0</t>
  </si>
  <si>
    <t>Kick-off meeting</t>
  </si>
  <si>
    <t xml:space="preserve">Requirements and Process flow </t>
  </si>
  <si>
    <t>In progress</t>
  </si>
  <si>
    <t>User stories and User Journey</t>
  </si>
  <si>
    <t>UX-Design: Figma drafts</t>
  </si>
  <si>
    <t>Initial product backlog creation</t>
  </si>
  <si>
    <t xml:space="preserve">Architecture Review with CE </t>
  </si>
  <si>
    <t xml:space="preserve">Infra Provisioning </t>
  </si>
  <si>
    <t>Sprint 0 review with Stakeholders</t>
  </si>
  <si>
    <t>Tuck In Work flow</t>
  </si>
  <si>
    <t>On Track</t>
  </si>
  <si>
    <t>Sprint 1</t>
  </si>
  <si>
    <t>Landing Page and Authentication</t>
  </si>
  <si>
    <t>Project creation wizard</t>
  </si>
  <si>
    <t>Integration of CapIQ data base for Data Retrieval</t>
  </si>
  <si>
    <t>Completion of Tuck In work flow</t>
  </si>
  <si>
    <t>UI development for Tuck In</t>
  </si>
  <si>
    <t>Sprint 1 review with stakeholders</t>
  </si>
  <si>
    <t xml:space="preserve">Data processing and Normalization (Census and Spend)  </t>
  </si>
  <si>
    <t>Sprint 2</t>
  </si>
  <si>
    <t>Data upload seperate section for buyer and Target (Census and Spend)</t>
  </si>
  <si>
    <t>Merger of Equals logic for FIle upload (Census and Spend)</t>
  </si>
  <si>
    <t>Normalization and Mapping (Census and Spend)</t>
  </si>
  <si>
    <t>UI development</t>
  </si>
  <si>
    <t>Backend  + UI Integration</t>
  </si>
  <si>
    <t>Sprint 2 review with stakeholders</t>
  </si>
  <si>
    <t>Currency Conversion and Consolidation (Census and Spend)</t>
  </si>
  <si>
    <t>Sprint 3</t>
  </si>
  <si>
    <t>Currency Conversion (Census and Spend)</t>
  </si>
  <si>
    <t>Consolidation of Buyer and Target (Census and Spend)</t>
  </si>
  <si>
    <t>Output generation from Spend and census</t>
  </si>
  <si>
    <t>UI Development</t>
  </si>
  <si>
    <t>Sprint 3 review with stakeholders</t>
  </si>
  <si>
    <t>Output generation and Implementation of Merger of Equals</t>
  </si>
  <si>
    <t>Sprint 4</t>
  </si>
  <si>
    <t>COnsolidated output generation</t>
  </si>
  <si>
    <t>Inplementation of Merger of Equals</t>
  </si>
  <si>
    <t>Sprint 4 review with stakeholders</t>
  </si>
  <si>
    <t>Testing and Deployment</t>
  </si>
  <si>
    <t>Sprint 8</t>
  </si>
  <si>
    <t>Evaluation of the performance of the tool</t>
  </si>
  <si>
    <t>Enhancement/fine-tuning based on testing</t>
  </si>
  <si>
    <t>Final deployment</t>
  </si>
  <si>
    <t>Sprint 8 review with stakeholders</t>
  </si>
  <si>
    <t>Calculations P4</t>
  </si>
  <si>
    <t>Development to identify cost saving opportunities for M3</t>
  </si>
  <si>
    <t>Discussion: Stakeholder discussion to align results with expectation</t>
  </si>
  <si>
    <t>Enhancement/fine-tuning based on feedback</t>
  </si>
  <si>
    <t>Sprint 9 review with stakeholders</t>
  </si>
  <si>
    <t>PPT output data automation</t>
  </si>
  <si>
    <t>Data preparation and pre processing for PPT output</t>
  </si>
  <si>
    <t>Review option for the user to provide feedback on the excel output generated</t>
  </si>
  <si>
    <t>Discussion with stakeholders and enhancement/fine-tuning based on feedback</t>
  </si>
  <si>
    <t>Sprint 10 review with stakeholders</t>
  </si>
  <si>
    <t>PPT output data automation and development</t>
  </si>
  <si>
    <t>Design the template for output deck</t>
  </si>
  <si>
    <t>Development of visuals based on client provided deck</t>
  </si>
  <si>
    <t>Sprint 11 review with stakeholders</t>
  </si>
  <si>
    <t>PPT output development</t>
  </si>
  <si>
    <t xml:space="preserve">Test the E2E process of output deck generation </t>
  </si>
  <si>
    <t>Sprint 12 review with stakeholders</t>
  </si>
  <si>
    <t>APIs for Census</t>
  </si>
  <si>
    <t>APIs for Spend</t>
  </si>
  <si>
    <t>UI and backend API development for project creation screen</t>
  </si>
  <si>
    <t>Merger of Equals and Tuckin logic for FIle upload (Census and Spend)</t>
  </si>
  <si>
    <t>Integration of Normalization API (Census and Spend)</t>
  </si>
  <si>
    <t>Integration of Mapping API (Census and Spend)</t>
  </si>
  <si>
    <t xml:space="preserve">Implementation of Tuck In </t>
  </si>
  <si>
    <t>Integration of Output generation and data export API (census and Spend)</t>
  </si>
  <si>
    <t>Implementation of Tuck in scenario (Census and Spend)</t>
  </si>
  <si>
    <t xml:space="preserve">Implementation of Merger of Equals </t>
  </si>
  <si>
    <t>Sprint 5</t>
  </si>
  <si>
    <t>Currency Normalization</t>
  </si>
  <si>
    <t>Implementation of Merger of Equals scenarios (Census and Spend)</t>
  </si>
  <si>
    <t>Sprint 5 review with stakeholders</t>
  </si>
  <si>
    <t>Generation of Concolidated output</t>
  </si>
  <si>
    <t>Sprint 6</t>
  </si>
  <si>
    <t>Summarization of Census Output</t>
  </si>
  <si>
    <t>Summarization of Spend Output</t>
  </si>
  <si>
    <t>Consolidation</t>
  </si>
  <si>
    <t>Sprint 6 review with stakeholders</t>
  </si>
  <si>
    <t>Excel generation</t>
  </si>
  <si>
    <t>Sprint 7</t>
  </si>
  <si>
    <t>Excel Generation with consolidated output</t>
  </si>
  <si>
    <t>Evaluation of accuracy</t>
  </si>
  <si>
    <t>Sprint 7 review with stakeholders</t>
  </si>
  <si>
    <t>Days1-5</t>
  </si>
  <si>
    <t>Market research</t>
  </si>
  <si>
    <t>Conduct ideation session(s) to identify functionality requirements and potential feature sets</t>
  </si>
  <si>
    <t>Align on Product Vision and User Interface (UI)</t>
  </si>
  <si>
    <t>Stakeholder interviews</t>
  </si>
  <si>
    <t>User stories and use cases</t>
  </si>
  <si>
    <t>17/12/2025</t>
  </si>
  <si>
    <t>31/12/2025</t>
  </si>
  <si>
    <t>`</t>
  </si>
  <si>
    <t>Integration of cCapIQ data base for Data Retrieval</t>
  </si>
  <si>
    <t xml:space="preserve">Data processing and currency conversion (Census and Spend)  </t>
  </si>
  <si>
    <t>Data ingestion, consolidation preparation and pre processing to normalize the data</t>
  </si>
  <si>
    <t>UI and backend API development</t>
  </si>
  <si>
    <t>Data upload seperate section for buyer and Target</t>
  </si>
  <si>
    <t>Consolidation of data for Buyer and target for Merger of equals</t>
  </si>
  <si>
    <t>Integration of Census Application</t>
  </si>
  <si>
    <t>Integration of Census application</t>
  </si>
  <si>
    <t>Optimization and testing for Merger of equals scenarios</t>
  </si>
  <si>
    <t>Data Processing and currency conversion Spend application</t>
  </si>
  <si>
    <t>Data Ingestion, consolidation, preparation and pre processing to normalize the data</t>
  </si>
  <si>
    <t>Data upload seperate for Buyer and target</t>
  </si>
  <si>
    <t>Integration of Spend application</t>
  </si>
  <si>
    <t>Optimization and testing of Merger of Equals scenarios</t>
  </si>
  <si>
    <t>Development of consolidated summary</t>
  </si>
  <si>
    <t>Dashboard generation</t>
  </si>
  <si>
    <t>Evaluation</t>
  </si>
  <si>
    <t xml:space="preserve">Name </t>
  </si>
  <si>
    <t>Designation</t>
  </si>
  <si>
    <t>Responsibility</t>
  </si>
  <si>
    <t>Allocation</t>
  </si>
  <si>
    <t>Total No of Resources - 10 (BE: 5, FE:3)</t>
  </si>
  <si>
    <t>Cynthia Pauline</t>
  </si>
  <si>
    <t>Manager</t>
  </si>
  <si>
    <t>Pod Lead</t>
  </si>
  <si>
    <t>Aashish Singh</t>
  </si>
  <si>
    <t>Senior</t>
  </si>
  <si>
    <t>BE developer</t>
  </si>
  <si>
    <t>Harshita</t>
  </si>
  <si>
    <t>Karthik Goparaju</t>
  </si>
  <si>
    <t>Akahay Mathur</t>
  </si>
  <si>
    <t>Anuj Kumar</t>
  </si>
  <si>
    <t>FE developer</t>
  </si>
  <si>
    <t>Nitish Mahna</t>
  </si>
  <si>
    <t>Shilpa Adlakha</t>
  </si>
  <si>
    <t>Adarsh</t>
  </si>
  <si>
    <t>Shaurya</t>
  </si>
  <si>
    <t>Aditya</t>
  </si>
  <si>
    <t>Replication of normalization and mapping</t>
  </si>
  <si>
    <t>Akshay</t>
  </si>
  <si>
    <t>Aashish</t>
  </si>
  <si>
    <t>3 weeks</t>
  </si>
  <si>
    <t>1 week</t>
  </si>
  <si>
    <t>Normalization</t>
  </si>
  <si>
    <t>6 weeks</t>
  </si>
  <si>
    <t>4 weeks</t>
  </si>
  <si>
    <t>Complete Process</t>
  </si>
  <si>
    <t>Integration to CE</t>
  </si>
  <si>
    <t>Backend</t>
  </si>
  <si>
    <t>Tuck in 1 week</t>
  </si>
  <si>
    <t xml:space="preserve">Merger of Equals </t>
  </si>
  <si>
    <t>6 week</t>
  </si>
  <si>
    <t>Normalization and mapping done in Census/spend</t>
  </si>
  <si>
    <t>Integration with Capital Edge</t>
  </si>
  <si>
    <t>FE</t>
  </si>
  <si>
    <t>Estimated Efforts</t>
  </si>
  <si>
    <t>To Do</t>
  </si>
  <si>
    <t>Medium</t>
  </si>
  <si>
    <t>Low</t>
  </si>
  <si>
    <t>Done</t>
  </si>
  <si>
    <t>Admin &amp; Governance</t>
  </si>
  <si>
    <t>APIs Census</t>
  </si>
  <si>
    <t>Current  Status Census</t>
  </si>
  <si>
    <t>Requirement for Synergy</t>
  </si>
  <si>
    <t>Bottleneck</t>
  </si>
  <si>
    <t>Proposed solution</t>
  </si>
  <si>
    <t>Requirement from Census team</t>
  </si>
  <si>
    <t>Effort required (In days)</t>
  </si>
  <si>
    <t>Project creation and Data upload</t>
  </si>
  <si>
    <t>Using form in FE and all the data is tored in SQL DB. Project ID created and stored in SQL DB
Data upload Containers in Azure blob using Naming convension. File ID Created in stored in SQL DB</t>
  </si>
  <si>
    <t xml:space="preserve">Schema should be same as Synergy and Census. </t>
  </si>
  <si>
    <t>Schema not same for Census and Spend</t>
  </si>
  <si>
    <t>1. Create our own project cretaion API: One API for form data that can be save in SQL DB in BE in Capital Edge platform. Other API for Data upload function - directly generate file ID and those file ID along with containoer name will be stored in the SQL DB of Capital Edge. ( This will not work because of the dependencies in the Project creation details and Unique ID validation steps in the Census process)
2. Census team will create same Schema as that of Synergy. for Census they will show Schema related to Census and Synergy will show schema for Synergy</t>
  </si>
  <si>
    <t>2. Census team has to create table for synergy</t>
  </si>
  <si>
    <t>Column mapping</t>
  </si>
  <si>
    <t>Own API that uses project ID and File ID in the container name in the request itself</t>
  </si>
  <si>
    <t xml:space="preserve">If Synergy Schema is used no other requirement since the project ID and File ID can be used form DB for Synergy </t>
  </si>
  <si>
    <t>NA</t>
  </si>
  <si>
    <t>Endpoin to be updated to point to Synergy DB</t>
  </si>
  <si>
    <t>Standardization</t>
  </si>
  <si>
    <t xml:space="preserve">Census uses container name. </t>
  </si>
  <si>
    <t>UID, Container name, Project ID and File ID</t>
  </si>
  <si>
    <t xml:space="preserve">UID is coming form Census DB. User should have access to both Census and Synergy application. </t>
  </si>
  <si>
    <t>Involve Anirudh to check how the Reddis implementation is done for Census. 
End point will be updated to point to Synergy</t>
  </si>
  <si>
    <t>Census use Form data and Census Schema</t>
  </si>
  <si>
    <t>Should be done with Synergy Schema</t>
  </si>
  <si>
    <t>Calculation Output</t>
  </si>
  <si>
    <t>Container name, UID, Report ID, Project ID</t>
  </si>
  <si>
    <t>Confirm how report ID and UID is created (Anirudh). End point to be created for Synergy</t>
  </si>
  <si>
    <t>Download link</t>
  </si>
  <si>
    <t>Container name, UID, Report ID</t>
  </si>
  <si>
    <t>Project creation, report Creation</t>
  </si>
  <si>
    <t>Subsequent imapct in Census</t>
  </si>
  <si>
    <t>Shared</t>
  </si>
  <si>
    <t>Storage account need to be consolidated</t>
  </si>
  <si>
    <t xml:space="preserve">Due to infraresource restriction, </t>
  </si>
  <si>
    <t>Deletion of project</t>
  </si>
  <si>
    <t xml:space="preserve">No </t>
  </si>
  <si>
    <t>Editing of project</t>
  </si>
  <si>
    <t>Others?</t>
  </si>
  <si>
    <t>Confirm with Anirudh</t>
  </si>
  <si>
    <t>Required APIs from Census team</t>
  </si>
  <si>
    <t>T</t>
  </si>
  <si>
    <t>/project/edit</t>
  </si>
  <si>
    <t>Authorization</t>
  </si>
  <si>
    <t>POST</t>
  </si>
  <si>
    <t>UID</t>
  </si>
  <si>
    <t>project_id</t>
  </si>
  <si>
    <t>data</t>
  </si>
  <si>
    <t>input_file</t>
  </si>
  <si>
    <t>taxonomy_file</t>
  </si>
  <si>
    <t>/project/delete</t>
  </si>
  <si>
    <t>GET</t>
  </si>
  <si>
    <t>/project/display</t>
  </si>
  <si>
    <t>/project/generated_files</t>
  </si>
  <si>
    <t>/project/delete_reports</t>
  </si>
  <si>
    <t>report_ids</t>
  </si>
  <si>
    <t>Approaches</t>
  </si>
  <si>
    <t>Cons</t>
  </si>
  <si>
    <t>API call (census and Spend)</t>
  </si>
  <si>
    <r>
      <rPr>
        <b/>
        <sz val="11"/>
        <color rgb="FF000000"/>
        <rFont val="Aptos Narrow"/>
        <scheme val="minor"/>
      </rPr>
      <t>Syenrgy</t>
    </r>
    <r>
      <rPr>
        <sz val="11"/>
        <color rgb="FF000000"/>
        <rFont val="Aptos Narrow"/>
        <scheme val="minor"/>
      </rPr>
      <t xml:space="preserve">: Developemnt in Capital Edge
</t>
    </r>
    <r>
      <rPr>
        <b/>
        <sz val="11"/>
        <color rgb="FF000000"/>
        <rFont val="Aptos Narrow"/>
        <scheme val="minor"/>
      </rPr>
      <t>Census and Spend:</t>
    </r>
    <r>
      <rPr>
        <sz val="11"/>
        <color rgb="FF000000"/>
        <rFont val="Aptos Narrow"/>
        <scheme val="minor"/>
      </rPr>
      <t xml:space="preserve"> in SaT Gen AI platform
1. What are the impacts to Inforsec and QRM. Can the APIs be exposed to another platform (CE). Communication and data transfer between one platform to another.
2. Implementation Feasibily
3. Leveraging infra resources in SaT Gen AI Platform in Capital Edge (for Synergy via API calls to Spend and Census)
4. Current API setup for Spend and Census is not structured to be consumed directly. Dependencies exist and code changes are required.
5. Open AI load management (currently designed to handle single app user base.)</t>
    </r>
  </si>
  <si>
    <t>APIs Cannot be directly consumed, need to be modified. who will support that development? Synergy team can support</t>
  </si>
  <si>
    <t xml:space="preserve">Clone </t>
  </si>
  <si>
    <t xml:space="preserve">Development time in capital edge platform is more </t>
  </si>
  <si>
    <t>APIs Spend</t>
  </si>
  <si>
    <t>Current  Status Spend</t>
  </si>
  <si>
    <t>Requirement from Spend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</si>
</sst>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font>
      <sz val="11"/>
      <color theme="1"/>
      <name val="Aptos Narrow"/>
      <family val="2"/>
      <scheme val="minor"/>
    </font>
    <font>
      <b/>
      <sz val="11"/>
      <color theme="0"/>
      <name val="Aptos Narrow"/>
      <family val="2"/>
      <scheme val="minor"/>
    </font>
    <font>
      <sz val="20"/>
      <color theme="1"/>
      <name val="Aptos Narrow"/>
      <family val="2"/>
      <scheme val="minor"/>
    </font>
    <font>
      <sz val="8"/>
      <name val="Aptos Narrow"/>
      <family val="2"/>
      <scheme val="minor"/>
    </font>
    <font>
      <sz val="11"/>
      <color rgb="FF000000"/>
      <name val="Calibri"/>
      <family val="2"/>
    </font>
    <font>
      <sz val="11"/>
      <name val="Aptos Narrow"/>
      <family val="2"/>
      <scheme val="minor"/>
    </font>
    <font>
      <b/>
      <sz val="11"/>
      <name val="Aptos Narrow"/>
      <family val="2"/>
      <scheme val="minor"/>
    </font>
    <font>
      <b/>
      <sz val="11"/>
      <color theme="1"/>
      <name val="Aptos Narrow"/>
      <family val="2"/>
      <scheme val="minor"/>
    </font>
    <font>
      <b/>
      <sz val="11"/>
      <color rgb="FF000000"/>
      <name val="Aptos Narrow"/>
      <scheme val="minor"/>
    </font>
    <font>
      <sz val="11"/>
      <color rgb="FF000000"/>
      <name val="Aptos Narrow"/>
      <scheme val="minor"/>
    </font>
    <font>
      <i/>
      <sz val="11"/>
      <color rgb="FF000000"/>
      <name val="Aptos Narrow"/>
      <scheme val="minor"/>
    </font>
    <font>
      <sz val="11"/>
      <color rgb="FF000000"/>
      <name val="Aptos Narrow"/>
      <charset val="1"/>
    </font>
    <font>
      <sz val="12"/>
      <color theme="1"/>
      <name val="Segoe Sans"/>
      <charset val="1"/>
    </font>
    <font>
      <sz val="11"/>
      <color rgb="FF000000"/>
      <name val="Aptos Narrow"/>
    </font>
    <font>
      <b/>
      <sz val="11"/>
      <color rgb="FF000000"/>
      <name val="Aptos Narrow"/>
    </font>
    <font>
      <b/>
      <sz val="11"/>
      <color rgb="FF000000"/>
      <name val="Calibri"/>
      <family val="2"/>
    </font>
    <font>
      <sz val="16"/>
      <color theme="1"/>
      <name val="Aptos Narrow"/>
      <family val="2"/>
      <scheme val="minor"/>
    </font>
    <font>
      <u/>
      <sz val="11"/>
      <color theme="10"/>
      <name val="Aptos Narrow"/>
      <family val="2"/>
      <scheme val="minor"/>
    </font>
    <font>
      <u/>
      <sz val="11"/>
      <color rgb="FF467886"/>
      <name val="Aptos Narrow"/>
      <scheme val="minor"/>
    </font>
    <font>
      <sz val="10"/>
      <color rgb="FF000000"/>
      <name val="Calibri Light"/>
      <family val="2"/>
    </font>
    <font>
      <b/>
      <sz val="10"/>
      <color rgb="FF000000"/>
      <name val="Century Gothic"/>
      <family val="2"/>
    </font>
    <font>
      <b/>
      <sz val="10"/>
      <name val="Calibri Light"/>
      <family val="2"/>
    </font>
    <font>
      <sz val="10"/>
      <name val="Calibri Light"/>
      <family val="2"/>
    </font>
    <font>
      <sz val="10"/>
      <color rgb="FF000000"/>
      <name val="Century Gothic"/>
      <family val="2"/>
    </font>
    <font>
      <sz val="11"/>
      <color rgb="FF242424"/>
      <name val="Aptos Narrow"/>
      <family val="2"/>
    </font>
    <font>
      <sz val="11"/>
      <color rgb="FF000000"/>
      <name val="Calibri"/>
      <charset val="1"/>
    </font>
    <font>
      <b/>
      <sz val="16"/>
      <color theme="1"/>
      <name val="Aptos Narrow"/>
      <family val="2"/>
      <scheme val="minor"/>
    </font>
    <font>
      <b/>
      <sz val="11"/>
      <color theme="1"/>
      <name val="Calibri"/>
      <charset val="1"/>
    </font>
    <font>
      <sz val="11"/>
      <color theme="1"/>
      <name val="Calibri"/>
      <charset val="1"/>
    </font>
    <font>
      <sz val="11"/>
      <color rgb="FFFF0000"/>
      <name val="Aptos Narrow"/>
      <family val="2"/>
      <scheme val="minor"/>
    </font>
  </fonts>
  <fills count="26">
    <fill>
      <patternFill patternType="none"/>
    </fill>
    <fill>
      <patternFill patternType="gray125"/>
    </fill>
    <fill>
      <patternFill patternType="solid">
        <fgColor theme="7"/>
        <bgColor indexed="64"/>
      </patternFill>
    </fill>
    <fill>
      <patternFill patternType="solid">
        <fgColor theme="3" tint="9.9978637043366805E-2"/>
        <bgColor indexed="64"/>
      </patternFill>
    </fill>
    <fill>
      <patternFill patternType="solid">
        <fgColor theme="5" tint="0.79998168889431442"/>
        <bgColor indexed="64"/>
      </patternFill>
    </fill>
    <fill>
      <patternFill patternType="solid">
        <fgColor rgb="FF00B050"/>
        <bgColor indexed="64"/>
      </patternFill>
    </fill>
    <fill>
      <patternFill patternType="solid">
        <fgColor rgb="FF002060"/>
        <bgColor indexed="64"/>
      </patternFill>
    </fill>
    <fill>
      <patternFill patternType="solid">
        <fgColor theme="2" tint="-9.9978637043366805E-2"/>
        <bgColor indexed="64"/>
      </patternFill>
    </fill>
    <fill>
      <patternFill patternType="solid">
        <fgColor theme="0"/>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rgb="FFF3F3F3"/>
        <bgColor rgb="FFF3F3F3"/>
      </patternFill>
    </fill>
    <fill>
      <patternFill patternType="solid">
        <fgColor rgb="FFC6E0B4"/>
        <bgColor rgb="FF000000"/>
      </patternFill>
    </fill>
    <fill>
      <patternFill patternType="solid">
        <fgColor rgb="FFE2EFDA"/>
        <bgColor rgb="FF000000"/>
      </patternFill>
    </fill>
    <fill>
      <patternFill patternType="solid">
        <fgColor rgb="FFB4C6E7"/>
        <bgColor rgb="FF000000"/>
      </patternFill>
    </fill>
    <fill>
      <patternFill patternType="solid">
        <fgColor rgb="FFDDEBF7"/>
        <bgColor rgb="FF000000"/>
      </patternFill>
    </fill>
    <fill>
      <patternFill patternType="solid">
        <fgColor rgb="FFFFE699"/>
        <bgColor rgb="FF000000"/>
      </patternFill>
    </fill>
    <fill>
      <patternFill patternType="solid">
        <fgColor rgb="FFFFF2CC"/>
        <bgColor rgb="FF000000"/>
      </patternFill>
    </fill>
    <fill>
      <patternFill patternType="solid">
        <fgColor rgb="FFAEAAAA"/>
        <bgColor rgb="FF000000"/>
      </patternFill>
    </fill>
    <fill>
      <patternFill patternType="solid">
        <fgColor rgb="FFD0CECE"/>
        <bgColor rgb="FF000000"/>
      </patternFill>
    </fill>
    <fill>
      <patternFill patternType="solid">
        <fgColor theme="9" tint="0.79998168889431442"/>
        <bgColor indexed="64"/>
      </patternFill>
    </fill>
    <fill>
      <patternFill patternType="solid">
        <fgColor theme="7" tint="0.59999389629810485"/>
        <bgColor indexed="64"/>
      </patternFill>
    </fill>
    <fill>
      <patternFill patternType="solid">
        <fgColor theme="5" tint="0.59999389629810485"/>
        <bgColor indexed="64"/>
      </patternFill>
    </fill>
  </fills>
  <borders count="121">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theme="1" tint="0.499984740745262"/>
      </left>
      <right style="thin">
        <color theme="1" tint="0.499984740745262"/>
      </right>
      <top/>
      <bottom style="thin">
        <color theme="1" tint="0.499984740745262"/>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style="thin">
        <color theme="1" tint="0.499984740745262"/>
      </left>
      <right/>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right style="thin">
        <color theme="1" tint="0.499984740745262"/>
      </right>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style="thin">
        <color indexed="64"/>
      </right>
      <top style="thin">
        <color indexed="64"/>
      </top>
      <bottom style="thin">
        <color indexed="64"/>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right style="thin">
        <color theme="1" tint="0.499984740745262"/>
      </right>
      <top/>
      <bottom/>
      <diagonal/>
    </border>
    <border>
      <left style="thin">
        <color theme="1" tint="0.499984740745262"/>
      </left>
      <right/>
      <top/>
      <bottom/>
      <diagonal/>
    </border>
    <border>
      <left style="thin">
        <color theme="1" tint="0.499984740745262"/>
      </left>
      <right style="thin">
        <color theme="1" tint="0.499984740745262"/>
      </right>
      <top/>
      <bottom/>
      <diagonal/>
    </border>
    <border>
      <left style="thin">
        <color indexed="64"/>
      </left>
      <right style="thin">
        <color indexed="64"/>
      </right>
      <top/>
      <bottom/>
      <diagonal/>
    </border>
    <border>
      <left/>
      <right/>
      <top style="thin">
        <color rgb="FF000000"/>
      </top>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rgb="FFA6A6A6"/>
      </right>
      <top style="medium">
        <color indexed="64"/>
      </top>
      <bottom style="medium">
        <color indexed="64"/>
      </bottom>
      <diagonal/>
    </border>
    <border>
      <left style="thin">
        <color rgb="FFA6A6A6"/>
      </left>
      <right style="thin">
        <color rgb="FFA6A6A6"/>
      </right>
      <top style="medium">
        <color indexed="64"/>
      </top>
      <bottom style="medium">
        <color indexed="64"/>
      </bottom>
      <diagonal/>
    </border>
    <border>
      <left style="thin">
        <color rgb="FFA6A6A6"/>
      </left>
      <right/>
      <top style="medium">
        <color indexed="64"/>
      </top>
      <bottom style="medium">
        <color indexed="64"/>
      </bottom>
      <diagonal/>
    </border>
    <border>
      <left style="thin">
        <color indexed="64"/>
      </left>
      <right style="thin">
        <color rgb="FF999999"/>
      </right>
      <top style="thin">
        <color indexed="64"/>
      </top>
      <bottom style="medium">
        <color indexed="64"/>
      </bottom>
      <diagonal/>
    </border>
    <border>
      <left style="medium">
        <color rgb="FFA6A6A6"/>
      </left>
      <right style="thin">
        <color rgb="FF999999"/>
      </right>
      <top style="thin">
        <color indexed="64"/>
      </top>
      <bottom style="medium">
        <color indexed="64"/>
      </bottom>
      <diagonal/>
    </border>
    <border>
      <left style="medium">
        <color rgb="FFA6A6A6"/>
      </left>
      <right/>
      <top style="thin">
        <color indexed="64"/>
      </top>
      <bottom style="medium">
        <color indexed="64"/>
      </bottom>
      <diagonal/>
    </border>
    <border>
      <left style="thin">
        <color indexed="64"/>
      </left>
      <right style="thin">
        <color rgb="FF999999"/>
      </right>
      <top style="medium">
        <color indexed="64"/>
      </top>
      <bottom style="medium">
        <color indexed="64"/>
      </bottom>
      <diagonal/>
    </border>
    <border>
      <left style="medium">
        <color rgb="FFA6A6A6"/>
      </left>
      <right style="thin">
        <color rgb="FF999999"/>
      </right>
      <top style="medium">
        <color indexed="64"/>
      </top>
      <bottom style="medium">
        <color indexed="64"/>
      </bottom>
      <diagonal/>
    </border>
    <border>
      <left style="medium">
        <color rgb="FFA6A6A6"/>
      </left>
      <right/>
      <top style="medium">
        <color indexed="64"/>
      </top>
      <bottom style="medium">
        <color indexed="64"/>
      </bottom>
      <diagonal/>
    </border>
    <border>
      <left style="medium">
        <color rgb="FFA6A6A6"/>
      </left>
      <right style="thin">
        <color indexed="64"/>
      </right>
      <top style="medium">
        <color indexed="64"/>
      </top>
      <bottom style="medium">
        <color indexed="64"/>
      </bottom>
      <diagonal/>
    </border>
    <border>
      <left/>
      <right style="thin">
        <color rgb="FF999999"/>
      </right>
      <top style="medium">
        <color indexed="64"/>
      </top>
      <bottom style="medium">
        <color indexed="64"/>
      </bottom>
      <diagonal/>
    </border>
    <border>
      <left style="thin">
        <color rgb="FFBFBFBF"/>
      </left>
      <right/>
      <top style="thin">
        <color rgb="FFBFBFBF"/>
      </top>
      <bottom style="thin">
        <color rgb="FFBFBFBF"/>
      </bottom>
      <diagonal/>
    </border>
    <border>
      <left style="medium">
        <color indexed="64"/>
      </left>
      <right/>
      <top style="medium">
        <color indexed="64"/>
      </top>
      <bottom style="thin">
        <color rgb="FF999999"/>
      </bottom>
      <diagonal/>
    </border>
    <border>
      <left/>
      <right/>
      <top style="medium">
        <color indexed="64"/>
      </top>
      <bottom style="thin">
        <color rgb="FF999999"/>
      </bottom>
      <diagonal/>
    </border>
    <border>
      <left/>
      <right style="thin">
        <color rgb="FF999999"/>
      </right>
      <top/>
      <bottom style="thin">
        <color rgb="FF999999"/>
      </bottom>
      <diagonal/>
    </border>
    <border>
      <left style="thin">
        <color rgb="FF999999"/>
      </left>
      <right style="thin">
        <color rgb="FF999999"/>
      </right>
      <top/>
      <bottom style="thin">
        <color rgb="FF999999"/>
      </bottom>
      <diagonal/>
    </border>
    <border>
      <left style="thin">
        <color rgb="FF999999"/>
      </left>
      <right style="thin">
        <color indexed="64"/>
      </right>
      <top/>
      <bottom style="thin">
        <color rgb="FF999999"/>
      </bottom>
      <diagonal/>
    </border>
    <border>
      <left style="thin">
        <color indexed="64"/>
      </left>
      <right style="thin">
        <color rgb="FF999999"/>
      </right>
      <top/>
      <bottom style="thin">
        <color rgb="FF999999"/>
      </bottom>
      <diagonal/>
    </border>
    <border>
      <left style="thin">
        <color rgb="FF999999"/>
      </left>
      <right/>
      <top/>
      <bottom style="thin">
        <color rgb="FF999999"/>
      </bottom>
      <diagonal/>
    </border>
    <border>
      <left style="medium">
        <color indexed="64"/>
      </left>
      <right style="thin">
        <color rgb="FF999999"/>
      </right>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rgb="FF999999"/>
      </left>
      <right style="medium">
        <color indexed="64"/>
      </right>
      <top style="thin">
        <color rgb="FF999999"/>
      </top>
      <bottom style="thin">
        <color rgb="FF999999"/>
      </bottom>
      <diagonal/>
    </border>
    <border>
      <left style="thin">
        <color rgb="FF999999"/>
      </left>
      <right style="thin">
        <color indexed="64"/>
      </right>
      <top style="thin">
        <color rgb="FF999999"/>
      </top>
      <bottom style="thin">
        <color rgb="FF999999"/>
      </bottom>
      <diagonal/>
    </border>
    <border>
      <left style="medium">
        <color indexed="64"/>
      </left>
      <right style="thin">
        <color rgb="FF999999"/>
      </right>
      <top style="thin">
        <color rgb="FF999999"/>
      </top>
      <bottom style="thin">
        <color rgb="FF999999"/>
      </bottom>
      <diagonal/>
    </border>
    <border>
      <left style="medium">
        <color rgb="FFA6A6A6"/>
      </left>
      <right style="thin">
        <color rgb="FF999999"/>
      </right>
      <top/>
      <bottom style="thin">
        <color rgb="FF999999"/>
      </bottom>
      <diagonal/>
    </border>
    <border>
      <left/>
      <right style="thin">
        <color rgb="FF999999"/>
      </right>
      <top style="thin">
        <color rgb="FF999999"/>
      </top>
      <bottom style="thin">
        <color rgb="FF999999"/>
      </bottom>
      <diagonal/>
    </border>
    <border>
      <left style="thin">
        <color indexed="64"/>
      </left>
      <right style="thin">
        <color rgb="FF999999"/>
      </right>
      <top style="thin">
        <color rgb="FF999999"/>
      </top>
      <bottom style="thin">
        <color rgb="FF999999"/>
      </bottom>
      <diagonal/>
    </border>
    <border>
      <left style="thin">
        <color indexed="64"/>
      </left>
      <right style="medium">
        <color indexed="64"/>
      </right>
      <top/>
      <bottom style="thin">
        <color rgb="FF999999"/>
      </bottom>
      <diagonal/>
    </border>
    <border>
      <left style="medium">
        <color indexed="64"/>
      </left>
      <right style="thin">
        <color rgb="FF999999"/>
      </right>
      <top style="thin">
        <color rgb="FF999999"/>
      </top>
      <bottom style="medium">
        <color indexed="64"/>
      </bottom>
      <diagonal/>
    </border>
    <border>
      <left style="medium">
        <color rgb="FFA6A6A6"/>
      </left>
      <right style="thin">
        <color rgb="FF999999"/>
      </right>
      <top/>
      <bottom style="medium">
        <color indexed="64"/>
      </bottom>
      <diagonal/>
    </border>
    <border>
      <left style="thin">
        <color rgb="FF999999"/>
      </left>
      <right style="thin">
        <color rgb="FF999999"/>
      </right>
      <top style="thin">
        <color rgb="FF999999"/>
      </top>
      <bottom style="medium">
        <color indexed="64"/>
      </bottom>
      <diagonal/>
    </border>
    <border>
      <left style="thin">
        <color rgb="FF999999"/>
      </left>
      <right/>
      <top style="thin">
        <color rgb="FF999999"/>
      </top>
      <bottom style="medium">
        <color indexed="64"/>
      </bottom>
      <diagonal/>
    </border>
    <border>
      <left style="thin">
        <color indexed="64"/>
      </left>
      <right style="thin">
        <color rgb="FF999999"/>
      </right>
      <top style="thin">
        <color rgb="FF999999"/>
      </top>
      <bottom style="medium">
        <color indexed="64"/>
      </bottom>
      <diagonal/>
    </border>
    <border>
      <left style="thin">
        <color indexed="64"/>
      </left>
      <right style="medium">
        <color indexed="64"/>
      </right>
      <top/>
      <bottom style="medium">
        <color indexed="64"/>
      </bottom>
      <diagonal/>
    </border>
    <border>
      <left/>
      <right style="thin">
        <color rgb="FF999999"/>
      </right>
      <top style="thin">
        <color rgb="FF999999"/>
      </top>
      <bottom/>
      <diagonal/>
    </border>
    <border>
      <left style="medium">
        <color rgb="FFA6A6A6"/>
      </left>
      <right style="thin">
        <color rgb="FF999999"/>
      </right>
      <top/>
      <bottom/>
      <diagonal/>
    </border>
    <border>
      <left style="thin">
        <color rgb="FF999999"/>
      </left>
      <right style="thin">
        <color rgb="FF999999"/>
      </right>
      <top style="thin">
        <color rgb="FF999999"/>
      </top>
      <bottom/>
      <diagonal/>
    </border>
    <border>
      <left style="thin">
        <color rgb="FF999999"/>
      </left>
      <right style="thin">
        <color indexed="64"/>
      </right>
      <top style="thin">
        <color rgb="FF999999"/>
      </top>
      <bottom/>
      <diagonal/>
    </border>
    <border>
      <left style="thin">
        <color indexed="64"/>
      </left>
      <right style="thin">
        <color rgb="FF999999"/>
      </right>
      <top style="thin">
        <color rgb="FF999999"/>
      </top>
      <bottom/>
      <diagonal/>
    </border>
    <border>
      <left style="thin">
        <color rgb="FF999999"/>
      </left>
      <right style="thin">
        <color indexed="64"/>
      </right>
      <top style="thin">
        <color rgb="FF999999"/>
      </top>
      <bottom style="medium">
        <color indexed="64"/>
      </bottom>
      <diagonal/>
    </border>
    <border>
      <left style="thin">
        <color rgb="FF999999"/>
      </left>
      <right style="medium">
        <color indexed="64"/>
      </right>
      <top style="thin">
        <color rgb="FF999999"/>
      </top>
      <bottom style="medium">
        <color indexed="64"/>
      </bottom>
      <diagonal/>
    </border>
    <border>
      <left style="thin">
        <color rgb="FF999999"/>
      </left>
      <right/>
      <top style="thin">
        <color rgb="FF999999"/>
      </top>
      <bottom/>
      <diagonal/>
    </border>
    <border>
      <left/>
      <right style="thin">
        <color rgb="FF999999"/>
      </right>
      <top style="thin">
        <color rgb="FF999999"/>
      </top>
      <bottom style="medium">
        <color indexed="64"/>
      </bottom>
      <diagonal/>
    </border>
    <border>
      <left/>
      <right style="thin">
        <color rgb="FF999999"/>
      </right>
      <top/>
      <bottom/>
      <diagonal/>
    </border>
    <border>
      <left style="thin">
        <color rgb="FF999999"/>
      </left>
      <right style="thin">
        <color rgb="FF999999"/>
      </right>
      <top/>
      <bottom/>
      <diagonal/>
    </border>
    <border>
      <left style="thin">
        <color rgb="FF999999"/>
      </left>
      <right style="thin">
        <color indexed="64"/>
      </right>
      <top/>
      <bottom/>
      <diagonal/>
    </border>
    <border>
      <left style="thin">
        <color rgb="FF999999"/>
      </left>
      <right/>
      <top/>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rgb="FF000000"/>
      </bottom>
      <diagonal/>
    </border>
    <border>
      <left style="medium">
        <color rgb="FFA3A3A3"/>
      </left>
      <right style="medium">
        <color rgb="FFA3A3A3"/>
      </right>
      <top style="medium">
        <color rgb="FFA3A3A3"/>
      </top>
      <bottom style="medium">
        <color rgb="FFA3A3A3"/>
      </bottom>
      <diagonal/>
    </border>
    <border>
      <left/>
      <right style="thin">
        <color indexed="64"/>
      </right>
      <top/>
      <bottom style="thin">
        <color indexed="64"/>
      </bottom>
      <diagonal/>
    </border>
    <border>
      <left style="thin">
        <color indexed="64"/>
      </left>
      <right/>
      <top/>
      <bottom style="thin">
        <color indexed="64"/>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bottom style="thin">
        <color rgb="FF000000"/>
      </bottom>
      <diagonal/>
    </border>
    <border>
      <left style="thin">
        <color indexed="64"/>
      </left>
      <right style="thin">
        <color rgb="FF999999"/>
      </right>
      <top/>
      <bottom/>
      <diagonal/>
    </border>
    <border>
      <left/>
      <right style="thin">
        <color indexed="64"/>
      </right>
      <top/>
      <bottom/>
      <diagonal/>
    </border>
    <border>
      <left style="thin">
        <color indexed="64"/>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style="thin">
        <color indexed="64"/>
      </left>
      <right style="thin">
        <color rgb="FF999999"/>
      </right>
      <top style="thin">
        <color indexed="64"/>
      </top>
      <bottom/>
      <diagonal/>
    </border>
    <border>
      <left style="medium">
        <color rgb="FFA6A6A6"/>
      </left>
      <right style="thin">
        <color rgb="FF999999"/>
      </right>
      <top style="thin">
        <color indexed="64"/>
      </top>
      <bottom/>
      <diagonal/>
    </border>
    <border>
      <left style="medium">
        <color rgb="FFA6A6A6"/>
      </left>
      <right/>
      <top style="thin">
        <color indexed="64"/>
      </top>
      <bottom/>
      <diagonal/>
    </border>
    <border>
      <left style="thin">
        <color indexed="64"/>
      </left>
      <right style="thin">
        <color rgb="FF999999"/>
      </right>
      <top style="medium">
        <color indexed="64"/>
      </top>
      <bottom/>
      <diagonal/>
    </border>
    <border>
      <left style="medium">
        <color rgb="FFA6A6A6"/>
      </left>
      <right style="thin">
        <color rgb="FF999999"/>
      </right>
      <top style="medium">
        <color indexed="64"/>
      </top>
      <bottom/>
      <diagonal/>
    </border>
    <border>
      <left style="medium">
        <color rgb="FFA6A6A6"/>
      </left>
      <right/>
      <top style="medium">
        <color indexed="64"/>
      </top>
      <bottom/>
      <diagonal/>
    </border>
    <border>
      <left style="medium">
        <color rgb="FFA6A6A6"/>
      </left>
      <right style="thin">
        <color indexed="64"/>
      </right>
      <top style="medium">
        <color indexed="64"/>
      </top>
      <bottom/>
      <diagonal/>
    </border>
    <border>
      <left/>
      <right style="thin">
        <color rgb="FF999999"/>
      </right>
      <top style="medium">
        <color indexed="64"/>
      </top>
      <bottom/>
      <diagonal/>
    </border>
  </borders>
  <cellStyleXfs count="2">
    <xf numFmtId="0" fontId="0" fillId="0" borderId="0"/>
    <xf numFmtId="0" fontId="17" fillId="0" borderId="0" applyNumberFormat="0" applyFill="0" applyBorder="0" applyAlignment="0" applyProtection="0"/>
  </cellStyleXfs>
  <cellXfs count="607">
    <xf numFmtId="0" fontId="0" fillId="0" borderId="0" xfId="0"/>
    <xf numFmtId="0" fontId="1" fillId="2" borderId="0" xfId="0" applyFont="1" applyFill="1" applyAlignment="1">
      <alignment horizontal="center"/>
    </xf>
    <xf numFmtId="0" fontId="1" fillId="2" borderId="0" xfId="0" applyFont="1" applyFill="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4" fillId="0" borderId="0" xfId="0" applyFont="1" applyAlignment="1">
      <alignment wrapText="1"/>
    </xf>
    <xf numFmtId="0" fontId="0" fillId="0" borderId="0" xfId="0" applyAlignment="1">
      <alignment horizontal="left" vertical="center" wrapText="1"/>
    </xf>
    <xf numFmtId="14" fontId="0" fillId="0" borderId="0" xfId="0" applyNumberFormat="1" applyAlignment="1">
      <alignment horizontal="center" vertical="center" wrapText="1"/>
    </xf>
    <xf numFmtId="0" fontId="1" fillId="2"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0" fillId="0" borderId="2" xfId="0" applyBorder="1" applyAlignment="1">
      <alignment horizontal="left" vertical="center" wrapText="1"/>
    </xf>
    <xf numFmtId="0" fontId="0" fillId="0" borderId="2" xfId="0" quotePrefix="1" applyBorder="1" applyAlignment="1">
      <alignment horizontal="left" vertical="center" wrapText="1"/>
    </xf>
    <xf numFmtId="0" fontId="0" fillId="0" borderId="2" xfId="0" applyBorder="1" applyAlignment="1">
      <alignment vertical="center" wrapText="1"/>
    </xf>
    <xf numFmtId="0" fontId="0" fillId="0" borderId="2" xfId="0" applyBorder="1" applyAlignment="1">
      <alignment horizontal="center" vertical="center" wrapText="1"/>
    </xf>
    <xf numFmtId="14" fontId="0" fillId="0" borderId="2" xfId="0" applyNumberFormat="1" applyBorder="1" applyAlignment="1">
      <alignment horizontal="center" vertical="center" wrapText="1"/>
    </xf>
    <xf numFmtId="0" fontId="4" fillId="0" borderId="0" xfId="0" applyFont="1" applyAlignment="1">
      <alignment vertical="center" wrapText="1"/>
    </xf>
    <xf numFmtId="0" fontId="5" fillId="0" borderId="2" xfId="0" applyFont="1" applyBorder="1" applyAlignment="1">
      <alignment vertical="center" wrapText="1"/>
    </xf>
    <xf numFmtId="0" fontId="1" fillId="0" borderId="0" xfId="0" applyFont="1" applyAlignment="1">
      <alignment vertical="center" wrapText="1"/>
    </xf>
    <xf numFmtId="9" fontId="1" fillId="5" borderId="2" xfId="0" applyNumberFormat="1" applyFont="1" applyFill="1" applyBorder="1" applyAlignment="1">
      <alignment horizontal="center" vertical="center" wrapText="1"/>
    </xf>
    <xf numFmtId="9" fontId="1" fillId="6" borderId="2" xfId="0" applyNumberFormat="1" applyFont="1" applyFill="1" applyBorder="1" applyAlignment="1">
      <alignment horizontal="center" vertical="center" wrapText="1"/>
    </xf>
    <xf numFmtId="0" fontId="1" fillId="0" borderId="0" xfId="0" applyFont="1" applyAlignment="1">
      <alignment horizontal="center" vertical="center" wrapText="1"/>
    </xf>
    <xf numFmtId="0" fontId="1" fillId="7" borderId="2" xfId="0" applyFont="1" applyFill="1" applyBorder="1" applyAlignment="1">
      <alignment horizontal="center" vertical="center" wrapText="1"/>
    </xf>
    <xf numFmtId="0" fontId="4" fillId="0" borderId="2" xfId="0" applyFont="1" applyBorder="1" applyAlignment="1">
      <alignment vertical="center" wrapText="1"/>
    </xf>
    <xf numFmtId="0" fontId="4" fillId="4" borderId="2" xfId="0" applyFont="1" applyFill="1" applyBorder="1" applyAlignment="1">
      <alignment vertical="center" wrapText="1"/>
    </xf>
    <xf numFmtId="0" fontId="0" fillId="0" borderId="3" xfId="0" applyBorder="1" applyAlignment="1">
      <alignment vertical="center" wrapText="1"/>
    </xf>
    <xf numFmtId="0" fontId="0" fillId="0" borderId="3" xfId="0" quotePrefix="1" applyBorder="1" applyAlignment="1">
      <alignment vertical="center" wrapText="1"/>
    </xf>
    <xf numFmtId="14" fontId="0" fillId="8" borderId="3" xfId="0" applyNumberFormat="1" applyFill="1" applyBorder="1" applyAlignment="1">
      <alignment horizontal="center" vertical="center" wrapText="1"/>
    </xf>
    <xf numFmtId="14" fontId="0" fillId="0" borderId="3" xfId="0" applyNumberFormat="1" applyBorder="1" applyAlignment="1">
      <alignment horizontal="center" vertical="center" wrapText="1"/>
    </xf>
    <xf numFmtId="0" fontId="0" fillId="0" borderId="3" xfId="0" applyBorder="1" applyAlignment="1">
      <alignment horizontal="center" vertical="center" wrapText="1"/>
    </xf>
    <xf numFmtId="9" fontId="1" fillId="6" borderId="3" xfId="0" applyNumberFormat="1" applyFont="1" applyFill="1" applyBorder="1" applyAlignment="1">
      <alignment horizontal="center" vertical="center" wrapText="1"/>
    </xf>
    <xf numFmtId="0" fontId="5" fillId="8" borderId="3" xfId="0" applyFont="1" applyFill="1" applyBorder="1" applyAlignment="1">
      <alignment vertical="center" wrapText="1"/>
    </xf>
    <xf numFmtId="9" fontId="1" fillId="5" borderId="3" xfId="0" applyNumberFormat="1" applyFont="1" applyFill="1" applyBorder="1" applyAlignment="1">
      <alignment horizontal="center" vertical="center" wrapText="1"/>
    </xf>
    <xf numFmtId="0" fontId="5" fillId="0" borderId="3" xfId="0" applyFont="1" applyBorder="1" applyAlignment="1">
      <alignment vertical="center" wrapText="1"/>
    </xf>
    <xf numFmtId="9" fontId="1" fillId="9" borderId="3" xfId="0" applyNumberFormat="1"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7" xfId="0" applyFont="1" applyFill="1" applyBorder="1" applyAlignment="1">
      <alignment horizontal="center" vertical="center" wrapText="1"/>
    </xf>
    <xf numFmtId="14" fontId="0" fillId="8" borderId="6" xfId="0" applyNumberFormat="1" applyFill="1" applyBorder="1" applyAlignment="1">
      <alignment horizontal="center" vertical="center" wrapText="1"/>
    </xf>
    <xf numFmtId="0" fontId="0" fillId="0" borderId="6" xfId="0" applyBorder="1" applyAlignment="1">
      <alignment horizontal="center" vertical="center" wrapText="1"/>
    </xf>
    <xf numFmtId="9" fontId="1" fillId="6" borderId="6" xfId="0" applyNumberFormat="1" applyFont="1" applyFill="1" applyBorder="1" applyAlignment="1">
      <alignment horizontal="center" vertical="center" wrapText="1"/>
    </xf>
    <xf numFmtId="0" fontId="5" fillId="8" borderId="6" xfId="0" applyFont="1" applyFill="1" applyBorder="1" applyAlignment="1">
      <alignment vertical="center" wrapText="1"/>
    </xf>
    <xf numFmtId="0" fontId="0" fillId="0" borderId="4" xfId="0" applyBorder="1" applyAlignment="1">
      <alignment horizontal="center" vertical="center" wrapText="1"/>
    </xf>
    <xf numFmtId="0" fontId="0" fillId="0" borderId="4" xfId="0" applyBorder="1" applyAlignment="1">
      <alignment horizontal="left" vertical="center" wrapText="1"/>
    </xf>
    <xf numFmtId="0" fontId="0" fillId="0" borderId="4" xfId="0" applyBorder="1" applyAlignment="1">
      <alignment vertical="center" wrapText="1"/>
    </xf>
    <xf numFmtId="0" fontId="1" fillId="2" borderId="4"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12" xfId="0" applyBorder="1" applyAlignment="1">
      <alignment horizontal="left" vertical="center" wrapText="1"/>
    </xf>
    <xf numFmtId="0" fontId="1" fillId="2" borderId="13" xfId="0" applyFont="1" applyFill="1" applyBorder="1" applyAlignment="1">
      <alignment horizontal="center" vertical="center" wrapText="1"/>
    </xf>
    <xf numFmtId="0" fontId="0" fillId="0" borderId="15" xfId="0" quotePrefix="1" applyBorder="1" applyAlignment="1">
      <alignment vertical="center" wrapText="1"/>
    </xf>
    <xf numFmtId="0" fontId="0" fillId="0" borderId="16" xfId="0" quotePrefix="1" applyBorder="1" applyAlignment="1">
      <alignment vertical="center" wrapText="1"/>
    </xf>
    <xf numFmtId="0" fontId="0" fillId="0" borderId="17" xfId="0" quotePrefix="1" applyBorder="1" applyAlignment="1">
      <alignment horizontal="left" vertical="center" wrapText="1"/>
    </xf>
    <xf numFmtId="0" fontId="0" fillId="0" borderId="16" xfId="0" applyBorder="1" applyAlignment="1">
      <alignment vertical="center" wrapText="1"/>
    </xf>
    <xf numFmtId="0" fontId="5" fillId="0" borderId="17" xfId="0" applyFont="1" applyBorder="1" applyAlignment="1">
      <alignment vertical="center" wrapText="1"/>
    </xf>
    <xf numFmtId="14" fontId="0" fillId="0" borderId="17" xfId="0" applyNumberFormat="1" applyBorder="1" applyAlignment="1">
      <alignment vertical="center" wrapText="1"/>
    </xf>
    <xf numFmtId="0" fontId="0" fillId="0" borderId="17" xfId="0" applyBorder="1" applyAlignment="1">
      <alignment vertical="center" wrapText="1"/>
    </xf>
    <xf numFmtId="0" fontId="0" fillId="0" borderId="17" xfId="0" applyBorder="1" applyAlignment="1">
      <alignment horizontal="left" vertical="center" wrapText="1"/>
    </xf>
    <xf numFmtId="0" fontId="7" fillId="0" borderId="4" xfId="0" applyFont="1" applyBorder="1" applyAlignment="1">
      <alignment horizontal="center" vertical="center" wrapText="1"/>
    </xf>
    <xf numFmtId="0" fontId="4" fillId="0" borderId="4" xfId="0" applyFont="1" applyBorder="1" applyAlignment="1">
      <alignment horizontal="center" vertical="center" wrapText="1"/>
    </xf>
    <xf numFmtId="0" fontId="0" fillId="0" borderId="15" xfId="0" applyBorder="1" applyAlignment="1">
      <alignment wrapText="1"/>
    </xf>
    <xf numFmtId="0" fontId="0" fillId="0" borderId="16" xfId="0" applyBorder="1" applyAlignment="1">
      <alignment wrapText="1"/>
    </xf>
    <xf numFmtId="0" fontId="0" fillId="0" borderId="0" xfId="0" applyAlignment="1">
      <alignment horizontal="center"/>
    </xf>
    <xf numFmtId="0" fontId="0" fillId="0" borderId="6" xfId="0" applyBorder="1" applyAlignment="1">
      <alignment horizontal="center" wrapText="1"/>
    </xf>
    <xf numFmtId="0" fontId="0" fillId="0" borderId="3" xfId="0" applyBorder="1" applyAlignment="1">
      <alignment horizontal="center" wrapText="1"/>
    </xf>
    <xf numFmtId="0" fontId="0" fillId="0" borderId="9" xfId="0" applyBorder="1" applyAlignment="1">
      <alignment vertical="center" wrapText="1"/>
    </xf>
    <xf numFmtId="0" fontId="7" fillId="0" borderId="23" xfId="0" applyFont="1" applyBorder="1" applyAlignment="1">
      <alignment horizontal="center" vertical="center" wrapText="1"/>
    </xf>
    <xf numFmtId="0" fontId="7" fillId="10" borderId="4" xfId="0" applyFont="1" applyFill="1" applyBorder="1" applyAlignment="1">
      <alignment horizontal="center" vertical="center" wrapText="1"/>
    </xf>
    <xf numFmtId="0" fontId="0" fillId="10" borderId="14" xfId="0" applyFill="1" applyBorder="1" applyAlignment="1">
      <alignment horizontal="center" vertical="center" wrapText="1"/>
    </xf>
    <xf numFmtId="0" fontId="0" fillId="10" borderId="9" xfId="0" applyFill="1" applyBorder="1" applyAlignment="1">
      <alignment horizontal="center" vertical="center" wrapText="1"/>
    </xf>
    <xf numFmtId="0" fontId="0" fillId="10" borderId="4" xfId="0" applyFill="1" applyBorder="1" applyAlignment="1">
      <alignment horizontal="center" vertical="center" wrapText="1"/>
    </xf>
    <xf numFmtId="0" fontId="0" fillId="10" borderId="4" xfId="0" applyFill="1" applyBorder="1" applyAlignment="1">
      <alignment horizontal="left" vertical="center" wrapText="1"/>
    </xf>
    <xf numFmtId="0" fontId="0" fillId="10" borderId="15" xfId="0" applyFill="1" applyBorder="1" applyAlignment="1">
      <alignment vertical="center" wrapText="1"/>
    </xf>
    <xf numFmtId="0" fontId="0" fillId="10" borderId="6" xfId="0" applyFill="1" applyBorder="1" applyAlignment="1">
      <alignment vertical="center" wrapText="1"/>
    </xf>
    <xf numFmtId="0" fontId="0" fillId="10" borderId="4" xfId="0" applyFill="1" applyBorder="1" applyAlignment="1">
      <alignment vertical="center" wrapText="1"/>
    </xf>
    <xf numFmtId="0" fontId="11" fillId="10" borderId="0" xfId="0" applyFont="1" applyFill="1" applyAlignment="1">
      <alignment vertical="center" wrapText="1"/>
    </xf>
    <xf numFmtId="0" fontId="11" fillId="10" borderId="19" xfId="0" applyFont="1" applyFill="1" applyBorder="1" applyAlignment="1">
      <alignment vertical="center" wrapText="1"/>
    </xf>
    <xf numFmtId="0" fontId="0" fillId="10" borderId="14" xfId="0" applyFill="1" applyBorder="1" applyAlignment="1">
      <alignment horizontal="left" vertical="center" wrapText="1"/>
    </xf>
    <xf numFmtId="0" fontId="0" fillId="10" borderId="9" xfId="0" applyFill="1" applyBorder="1" applyAlignment="1">
      <alignment vertical="center" wrapText="1"/>
    </xf>
    <xf numFmtId="0" fontId="5" fillId="10" borderId="4" xfId="0" applyFont="1" applyFill="1" applyBorder="1" applyAlignment="1">
      <alignment horizontal="center" vertical="center" wrapText="1"/>
    </xf>
    <xf numFmtId="0" fontId="9" fillId="10" borderId="14" xfId="0" applyFont="1" applyFill="1" applyBorder="1" applyAlignment="1">
      <alignment horizontal="left" vertical="top" wrapText="1"/>
    </xf>
    <xf numFmtId="0" fontId="0" fillId="10" borderId="20" xfId="0" applyFill="1" applyBorder="1" applyAlignment="1">
      <alignment horizontal="center" vertical="center" wrapText="1"/>
    </xf>
    <xf numFmtId="0" fontId="0" fillId="10" borderId="20" xfId="0" applyFill="1" applyBorder="1" applyAlignment="1">
      <alignment vertical="center" wrapText="1"/>
    </xf>
    <xf numFmtId="0" fontId="5" fillId="10" borderId="19" xfId="0" quotePrefix="1" applyFont="1" applyFill="1" applyBorder="1" applyAlignment="1">
      <alignment vertical="center" wrapText="1"/>
    </xf>
    <xf numFmtId="0" fontId="9" fillId="10" borderId="21" xfId="0" applyFont="1" applyFill="1" applyBorder="1" applyAlignment="1">
      <alignment horizontal="left" vertical="center" wrapText="1"/>
    </xf>
    <xf numFmtId="0" fontId="5" fillId="10" borderId="19" xfId="0" applyFont="1" applyFill="1" applyBorder="1" applyAlignment="1">
      <alignment vertical="center" wrapText="1"/>
    </xf>
    <xf numFmtId="0" fontId="9" fillId="10" borderId="4" xfId="0" applyFont="1" applyFill="1" applyBorder="1" applyAlignment="1">
      <alignment horizontal="left" vertical="top" wrapText="1"/>
    </xf>
    <xf numFmtId="0" fontId="7" fillId="10" borderId="19" xfId="0" applyFont="1" applyFill="1" applyBorder="1" applyAlignment="1">
      <alignment horizontal="center" vertical="center" wrapText="1"/>
    </xf>
    <xf numFmtId="0" fontId="0" fillId="10" borderId="21" xfId="0" applyFill="1" applyBorder="1" applyAlignment="1">
      <alignment horizontal="center" vertical="center" wrapText="1"/>
    </xf>
    <xf numFmtId="0" fontId="0" fillId="10" borderId="24" xfId="0" applyFill="1" applyBorder="1" applyAlignment="1">
      <alignment horizontal="center" vertical="center" wrapText="1"/>
    </xf>
    <xf numFmtId="0" fontId="11" fillId="10" borderId="19" xfId="0" applyFont="1" applyFill="1" applyBorder="1" applyAlignment="1">
      <alignment wrapText="1"/>
    </xf>
    <xf numFmtId="0" fontId="0" fillId="10" borderId="25" xfId="0" applyFill="1" applyBorder="1" applyAlignment="1">
      <alignment horizontal="center" vertical="center" wrapText="1"/>
    </xf>
    <xf numFmtId="0" fontId="0" fillId="10" borderId="19" xfId="0" applyFill="1" applyBorder="1" applyAlignment="1">
      <alignment horizontal="center" vertical="center" wrapText="1"/>
    </xf>
    <xf numFmtId="0" fontId="0" fillId="10" borderId="4" xfId="0" applyFill="1" applyBorder="1" applyAlignment="1">
      <alignment wrapText="1"/>
    </xf>
    <xf numFmtId="0" fontId="0" fillId="10" borderId="0" xfId="0" applyFill="1" applyAlignment="1">
      <alignment horizontal="center" vertical="center" wrapText="1"/>
    </xf>
    <xf numFmtId="0" fontId="0" fillId="10" borderId="4" xfId="0" quotePrefix="1" applyFill="1" applyBorder="1" applyAlignment="1">
      <alignment vertical="center" wrapText="1"/>
    </xf>
    <xf numFmtId="0" fontId="9" fillId="10" borderId="4" xfId="0" applyFont="1" applyFill="1" applyBorder="1" applyAlignment="1">
      <alignment vertical="center" wrapText="1"/>
    </xf>
    <xf numFmtId="0" fontId="1" fillId="10" borderId="4" xfId="0" applyFont="1" applyFill="1" applyBorder="1" applyAlignment="1">
      <alignment horizontal="center" vertical="center" wrapText="1"/>
    </xf>
    <xf numFmtId="0" fontId="0" fillId="10" borderId="4" xfId="0" applyFill="1" applyBorder="1" applyAlignment="1">
      <alignment horizontal="center" wrapText="1"/>
    </xf>
    <xf numFmtId="14" fontId="0" fillId="10" borderId="4" xfId="0" applyNumberFormat="1" applyFill="1" applyBorder="1" applyAlignment="1">
      <alignment horizontal="center" vertical="center" wrapText="1"/>
    </xf>
    <xf numFmtId="0" fontId="5" fillId="10" borderId="4" xfId="0" applyFont="1" applyFill="1" applyBorder="1" applyAlignment="1">
      <alignment vertical="center" wrapText="1"/>
    </xf>
    <xf numFmtId="0" fontId="7" fillId="0" borderId="26" xfId="0" applyFont="1" applyBorder="1" applyAlignment="1">
      <alignment horizontal="center" vertical="center" wrapText="1"/>
    </xf>
    <xf numFmtId="0" fontId="0" fillId="0" borderId="27" xfId="0" applyBorder="1" applyAlignment="1">
      <alignment wrapText="1"/>
    </xf>
    <xf numFmtId="0" fontId="0" fillId="0" borderId="28" xfId="0" applyBorder="1" applyAlignment="1">
      <alignment vertical="center" wrapText="1"/>
    </xf>
    <xf numFmtId="0" fontId="0" fillId="0" borderId="27" xfId="0" quotePrefix="1" applyBorder="1" applyAlignment="1">
      <alignment vertical="center" wrapText="1"/>
    </xf>
    <xf numFmtId="0" fontId="1" fillId="3" borderId="30" xfId="0" applyFont="1" applyFill="1" applyBorder="1" applyAlignment="1">
      <alignment horizontal="center" vertical="center" wrapText="1"/>
    </xf>
    <xf numFmtId="0" fontId="0" fillId="0" borderId="29" xfId="0" applyBorder="1" applyAlignment="1">
      <alignment horizontal="center" wrapText="1"/>
    </xf>
    <xf numFmtId="0" fontId="1" fillId="2" borderId="30" xfId="0" applyFont="1" applyFill="1" applyBorder="1" applyAlignment="1">
      <alignment horizontal="center" vertical="center" wrapText="1"/>
    </xf>
    <xf numFmtId="14" fontId="0" fillId="8" borderId="29" xfId="0" applyNumberFormat="1" applyFill="1" applyBorder="1" applyAlignment="1">
      <alignment horizontal="center" vertical="center" wrapText="1"/>
    </xf>
    <xf numFmtId="0" fontId="0" fillId="0" borderId="29" xfId="0" applyBorder="1" applyAlignment="1">
      <alignment horizontal="center" vertical="center" wrapText="1"/>
    </xf>
    <xf numFmtId="9" fontId="1" fillId="6" borderId="29" xfId="0" applyNumberFormat="1" applyFont="1" applyFill="1" applyBorder="1" applyAlignment="1">
      <alignment horizontal="center" vertical="center" wrapText="1"/>
    </xf>
    <xf numFmtId="0" fontId="5" fillId="8" borderId="29" xfId="0" applyFont="1" applyFill="1" applyBorder="1" applyAlignment="1">
      <alignment vertical="center" wrapText="1"/>
    </xf>
    <xf numFmtId="0" fontId="0" fillId="10" borderId="19" xfId="0" applyFill="1" applyBorder="1" applyAlignment="1">
      <alignment vertical="center" wrapText="1"/>
    </xf>
    <xf numFmtId="0" fontId="0" fillId="10" borderId="19" xfId="0" quotePrefix="1" applyFill="1" applyBorder="1" applyAlignment="1">
      <alignment vertical="center" wrapText="1"/>
    </xf>
    <xf numFmtId="0" fontId="1" fillId="10" borderId="19" xfId="0" applyFont="1" applyFill="1" applyBorder="1" applyAlignment="1">
      <alignment horizontal="center" vertical="center" wrapText="1"/>
    </xf>
    <xf numFmtId="0" fontId="0" fillId="10" borderId="19" xfId="0" applyFill="1" applyBorder="1" applyAlignment="1">
      <alignment horizontal="center" wrapText="1"/>
    </xf>
    <xf numFmtId="14" fontId="0" fillId="10" borderId="19" xfId="0" applyNumberFormat="1" applyFill="1" applyBorder="1" applyAlignment="1">
      <alignment horizontal="center" vertical="center" wrapText="1"/>
    </xf>
    <xf numFmtId="0" fontId="0" fillId="10" borderId="31" xfId="0" applyFill="1" applyBorder="1" applyAlignment="1">
      <alignment horizontal="center" vertical="center" wrapText="1"/>
    </xf>
    <xf numFmtId="0" fontId="7" fillId="10" borderId="20" xfId="0" applyFont="1" applyFill="1" applyBorder="1" applyAlignment="1">
      <alignment horizontal="center" vertical="center" wrapText="1"/>
    </xf>
    <xf numFmtId="0" fontId="0" fillId="10" borderId="22" xfId="0" applyFill="1" applyBorder="1" applyAlignment="1">
      <alignment horizontal="center" vertical="center" wrapText="1"/>
    </xf>
    <xf numFmtId="0" fontId="0" fillId="10" borderId="23" xfId="0" applyFill="1" applyBorder="1" applyAlignment="1">
      <alignment horizontal="center" vertical="center" wrapText="1"/>
    </xf>
    <xf numFmtId="0" fontId="11" fillId="10" borderId="4" xfId="0" applyFont="1" applyFill="1" applyBorder="1" applyAlignment="1">
      <alignment vertical="center" wrapText="1"/>
    </xf>
    <xf numFmtId="0" fontId="0" fillId="10" borderId="14" xfId="0" applyFill="1" applyBorder="1" applyAlignment="1">
      <alignment horizontal="left" vertical="top" wrapText="1"/>
    </xf>
    <xf numFmtId="0" fontId="0" fillId="10" borderId="18" xfId="0" applyFill="1" applyBorder="1" applyAlignment="1">
      <alignment horizontal="center" vertical="center" wrapText="1"/>
    </xf>
    <xf numFmtId="0" fontId="0" fillId="10" borderId="18" xfId="0" applyFill="1" applyBorder="1" applyAlignment="1">
      <alignment horizontal="left" vertical="center" wrapText="1"/>
    </xf>
    <xf numFmtId="0" fontId="0" fillId="10" borderId="9" xfId="0" applyFill="1" applyBorder="1" applyAlignment="1">
      <alignment wrapText="1"/>
    </xf>
    <xf numFmtId="0" fontId="0" fillId="10" borderId="21" xfId="0" applyFill="1" applyBorder="1" applyAlignment="1">
      <alignment vertical="center" wrapText="1"/>
    </xf>
    <xf numFmtId="0" fontId="0" fillId="10" borderId="14" xfId="0" applyFill="1" applyBorder="1" applyAlignment="1">
      <alignment vertical="center" wrapText="1"/>
    </xf>
    <xf numFmtId="0" fontId="1" fillId="2" borderId="19" xfId="0" applyFont="1" applyFill="1" applyBorder="1" applyAlignment="1">
      <alignment horizontal="center" vertical="center" wrapText="1"/>
    </xf>
    <xf numFmtId="0" fontId="0" fillId="10" borderId="0" xfId="0" applyFill="1" applyAlignment="1">
      <alignment vertical="center" wrapText="1"/>
    </xf>
    <xf numFmtId="0" fontId="1" fillId="10" borderId="0" xfId="0" applyFont="1" applyFill="1" applyAlignment="1">
      <alignment horizontal="center" vertical="center" wrapText="1"/>
    </xf>
    <xf numFmtId="0" fontId="0" fillId="10" borderId="4" xfId="0" applyFill="1" applyBorder="1" applyAlignment="1">
      <alignment vertical="top" wrapText="1"/>
    </xf>
    <xf numFmtId="0" fontId="0" fillId="0" borderId="4" xfId="0" quotePrefix="1" applyBorder="1" applyAlignment="1">
      <alignment vertical="center" wrapText="1"/>
    </xf>
    <xf numFmtId="0" fontId="0" fillId="10" borderId="20" xfId="0" applyFill="1" applyBorder="1" applyAlignment="1">
      <alignment horizontal="left" vertical="center" wrapText="1"/>
    </xf>
    <xf numFmtId="0" fontId="0" fillId="0" borderId="24" xfId="0" applyBorder="1" applyAlignment="1">
      <alignment vertical="center" wrapText="1"/>
    </xf>
    <xf numFmtId="0" fontId="0" fillId="10" borderId="22" xfId="0" applyFill="1" applyBorder="1" applyAlignment="1">
      <alignment vertical="center" wrapText="1"/>
    </xf>
    <xf numFmtId="0" fontId="0" fillId="0" borderId="22" xfId="0" applyBorder="1" applyAlignment="1">
      <alignment vertical="center" wrapText="1"/>
    </xf>
    <xf numFmtId="0" fontId="0" fillId="0" borderId="27" xfId="0" applyBorder="1" applyAlignment="1">
      <alignment vertical="center" wrapText="1"/>
    </xf>
    <xf numFmtId="0" fontId="0" fillId="10" borderId="14" xfId="0" applyFill="1" applyBorder="1" applyAlignment="1">
      <alignment vertical="top" wrapText="1"/>
    </xf>
    <xf numFmtId="0" fontId="9" fillId="10" borderId="18" xfId="0" applyFont="1" applyFill="1" applyBorder="1" applyAlignment="1">
      <alignment vertical="center" wrapText="1"/>
    </xf>
    <xf numFmtId="0" fontId="11" fillId="10" borderId="19" xfId="0" applyFont="1" applyFill="1" applyBorder="1" applyAlignment="1">
      <alignment vertical="center"/>
    </xf>
    <xf numFmtId="0" fontId="7" fillId="10" borderId="2" xfId="0" applyFont="1" applyFill="1" applyBorder="1" applyAlignment="1">
      <alignment horizontal="center" vertical="center" wrapText="1"/>
    </xf>
    <xf numFmtId="0" fontId="0" fillId="10" borderId="23" xfId="0" applyFill="1" applyBorder="1" applyAlignment="1">
      <alignment horizontal="center" wrapText="1"/>
    </xf>
    <xf numFmtId="0" fontId="1" fillId="10" borderId="23" xfId="0" applyFont="1" applyFill="1" applyBorder="1" applyAlignment="1">
      <alignment horizontal="center" vertical="center" wrapText="1"/>
    </xf>
    <xf numFmtId="14" fontId="0" fillId="10" borderId="23" xfId="0" applyNumberFormat="1" applyFill="1" applyBorder="1" applyAlignment="1">
      <alignment horizontal="center" vertical="center" wrapText="1"/>
    </xf>
    <xf numFmtId="0" fontId="7" fillId="10" borderId="7" xfId="0" applyFont="1" applyFill="1" applyBorder="1" applyAlignment="1">
      <alignment horizontal="center" vertical="center" wrapText="1"/>
    </xf>
    <xf numFmtId="0" fontId="5" fillId="10" borderId="23" xfId="0" applyFont="1" applyFill="1" applyBorder="1" applyAlignment="1">
      <alignment vertical="center" wrapText="1"/>
    </xf>
    <xf numFmtId="0" fontId="0" fillId="0" borderId="19" xfId="0" quotePrefix="1" applyBorder="1" applyAlignment="1">
      <alignment vertical="center" wrapText="1"/>
    </xf>
    <xf numFmtId="14" fontId="0" fillId="0" borderId="30" xfId="0" applyNumberFormat="1" applyBorder="1" applyAlignment="1">
      <alignment horizontal="center" vertical="center" wrapText="1"/>
    </xf>
    <xf numFmtId="0" fontId="0" fillId="0" borderId="30" xfId="0" applyBorder="1" applyAlignment="1">
      <alignment horizontal="center" vertical="center" wrapText="1"/>
    </xf>
    <xf numFmtId="0" fontId="1" fillId="7" borderId="30" xfId="0" applyFont="1" applyFill="1" applyBorder="1" applyAlignment="1">
      <alignment horizontal="center" vertical="center" wrapText="1"/>
    </xf>
    <xf numFmtId="0" fontId="0" fillId="0" borderId="23" xfId="0" quotePrefix="1" applyBorder="1" applyAlignment="1">
      <alignment vertical="center" wrapText="1"/>
    </xf>
    <xf numFmtId="0" fontId="7" fillId="8" borderId="19" xfId="0" applyFont="1" applyFill="1" applyBorder="1" applyAlignment="1">
      <alignment horizontal="center" vertical="center" wrapText="1"/>
    </xf>
    <xf numFmtId="0" fontId="0" fillId="11" borderId="4" xfId="0" applyFill="1" applyBorder="1" applyAlignment="1">
      <alignment vertical="center" wrapText="1"/>
    </xf>
    <xf numFmtId="0" fontId="11" fillId="11" borderId="4" xfId="0" applyFont="1" applyFill="1" applyBorder="1" applyAlignment="1">
      <alignment vertical="center" wrapText="1"/>
    </xf>
    <xf numFmtId="0" fontId="7" fillId="10" borderId="5" xfId="0" applyFont="1" applyFill="1" applyBorder="1" applyAlignment="1">
      <alignment horizontal="center" vertical="center" wrapText="1"/>
    </xf>
    <xf numFmtId="0" fontId="0" fillId="10" borderId="21" xfId="0" quotePrefix="1" applyFill="1" applyBorder="1" applyAlignment="1">
      <alignment vertical="center" wrapText="1"/>
    </xf>
    <xf numFmtId="0" fontId="0" fillId="10" borderId="14" xfId="0" quotePrefix="1" applyFill="1" applyBorder="1" applyAlignment="1">
      <alignment vertical="center" wrapText="1"/>
    </xf>
    <xf numFmtId="0" fontId="0" fillId="11" borderId="19" xfId="0" applyFill="1" applyBorder="1" applyAlignment="1">
      <alignment vertical="center" wrapText="1"/>
    </xf>
    <xf numFmtId="0" fontId="0" fillId="11" borderId="20" xfId="0" applyFill="1" applyBorder="1" applyAlignment="1">
      <alignment vertical="center" wrapText="1"/>
    </xf>
    <xf numFmtId="0" fontId="11" fillId="11" borderId="19" xfId="0" applyFont="1" applyFill="1" applyBorder="1" applyAlignment="1">
      <alignment vertical="center" wrapText="1"/>
    </xf>
    <xf numFmtId="0" fontId="1" fillId="10" borderId="21" xfId="0" applyFont="1" applyFill="1" applyBorder="1" applyAlignment="1">
      <alignment horizontal="center" vertical="center" wrapText="1"/>
    </xf>
    <xf numFmtId="0" fontId="12" fillId="11" borderId="4" xfId="0" applyFont="1" applyFill="1" applyBorder="1" applyAlignment="1">
      <alignment vertical="center" wrapText="1"/>
    </xf>
    <xf numFmtId="0" fontId="0" fillId="11" borderId="14" xfId="0" applyFill="1" applyBorder="1" applyAlignment="1">
      <alignment vertical="center" wrapText="1"/>
    </xf>
    <xf numFmtId="0" fontId="7" fillId="10" borderId="9" xfId="0" applyFont="1" applyFill="1" applyBorder="1" applyAlignment="1">
      <alignment horizontal="center" vertical="center" wrapText="1"/>
    </xf>
    <xf numFmtId="0" fontId="0" fillId="10" borderId="25" xfId="0" applyFill="1" applyBorder="1" applyAlignment="1">
      <alignment horizontal="left" vertical="center" wrapText="1"/>
    </xf>
    <xf numFmtId="0" fontId="11" fillId="10" borderId="19" xfId="0" applyFont="1" applyFill="1" applyBorder="1" applyAlignment="1">
      <alignment vertical="top" wrapText="1"/>
    </xf>
    <xf numFmtId="0" fontId="7" fillId="11" borderId="4" xfId="0" applyFont="1" applyFill="1" applyBorder="1" applyAlignment="1">
      <alignment horizontal="center" vertical="center" wrapText="1"/>
    </xf>
    <xf numFmtId="0" fontId="0" fillId="11" borderId="16" xfId="0" applyFill="1" applyBorder="1" applyAlignment="1">
      <alignment wrapText="1"/>
    </xf>
    <xf numFmtId="0" fontId="0" fillId="11" borderId="11" xfId="0" applyFill="1" applyBorder="1" applyAlignment="1">
      <alignment vertical="center" wrapText="1"/>
    </xf>
    <xf numFmtId="0" fontId="0" fillId="11" borderId="4" xfId="0" applyFill="1" applyBorder="1" applyAlignment="1">
      <alignment horizontal="left" vertical="center" wrapText="1"/>
    </xf>
    <xf numFmtId="0" fontId="0" fillId="11" borderId="17" xfId="0" quotePrefix="1" applyFill="1" applyBorder="1" applyAlignment="1">
      <alignment horizontal="left" vertical="center" wrapText="1"/>
    </xf>
    <xf numFmtId="0" fontId="0" fillId="11" borderId="2" xfId="0" quotePrefix="1" applyFill="1" applyBorder="1" applyAlignment="1">
      <alignment horizontal="left" vertical="center" wrapText="1"/>
    </xf>
    <xf numFmtId="0" fontId="1" fillId="11" borderId="2" xfId="0" applyFont="1" applyFill="1" applyBorder="1" applyAlignment="1">
      <alignment horizontal="center" vertical="center" wrapText="1"/>
    </xf>
    <xf numFmtId="0" fontId="0" fillId="11" borderId="3" xfId="0" applyFill="1" applyBorder="1" applyAlignment="1">
      <alignment horizontal="center" wrapText="1"/>
    </xf>
    <xf numFmtId="14" fontId="0" fillId="11" borderId="2" xfId="0" applyNumberFormat="1" applyFill="1" applyBorder="1" applyAlignment="1">
      <alignment horizontal="center" vertical="center" wrapText="1"/>
    </xf>
    <xf numFmtId="0" fontId="0" fillId="11" borderId="2" xfId="0" applyFill="1" applyBorder="1" applyAlignment="1">
      <alignment horizontal="center" vertical="center" wrapText="1"/>
    </xf>
    <xf numFmtId="0" fontId="5" fillId="11" borderId="3" xfId="0" applyFont="1" applyFill="1" applyBorder="1" applyAlignment="1">
      <alignment vertical="center" wrapText="1"/>
    </xf>
    <xf numFmtId="0" fontId="4" fillId="11" borderId="4" xfId="0" applyFont="1" applyFill="1" applyBorder="1" applyAlignment="1">
      <alignment horizontal="center" vertical="center" wrapText="1"/>
    </xf>
    <xf numFmtId="0" fontId="0" fillId="11" borderId="17" xfId="0" applyFill="1" applyBorder="1" applyAlignment="1">
      <alignment vertical="center" wrapText="1"/>
    </xf>
    <xf numFmtId="0" fontId="0" fillId="11" borderId="12" xfId="0" applyFill="1" applyBorder="1" applyAlignment="1">
      <alignment horizontal="left" vertical="center" wrapText="1"/>
    </xf>
    <xf numFmtId="0" fontId="4" fillId="11" borderId="2" xfId="0" applyFont="1" applyFill="1" applyBorder="1" applyAlignment="1">
      <alignment vertical="center" wrapText="1"/>
    </xf>
    <xf numFmtId="0" fontId="0" fillId="11" borderId="2" xfId="0" applyFill="1" applyBorder="1" applyAlignment="1">
      <alignment horizontal="left" vertical="center" wrapText="1"/>
    </xf>
    <xf numFmtId="0" fontId="0" fillId="11" borderId="2" xfId="0" applyFill="1" applyBorder="1" applyAlignment="1">
      <alignment vertical="center" wrapText="1"/>
    </xf>
    <xf numFmtId="0" fontId="0" fillId="11" borderId="4" xfId="0" applyFill="1" applyBorder="1" applyAlignment="1">
      <alignment horizontal="center" vertical="center" wrapText="1"/>
    </xf>
    <xf numFmtId="0" fontId="0" fillId="11" borderId="17" xfId="0" applyFill="1" applyBorder="1" applyAlignment="1">
      <alignment horizontal="left" vertical="center" wrapText="1"/>
    </xf>
    <xf numFmtId="9" fontId="1" fillId="11" borderId="2" xfId="0" applyNumberFormat="1" applyFont="1" applyFill="1" applyBorder="1" applyAlignment="1">
      <alignment horizontal="center" vertical="center" wrapText="1"/>
    </xf>
    <xf numFmtId="0" fontId="7" fillId="0" borderId="0" xfId="0" applyFont="1"/>
    <xf numFmtId="0" fontId="7" fillId="0" borderId="4" xfId="0" applyFont="1" applyBorder="1"/>
    <xf numFmtId="0" fontId="0" fillId="0" borderId="4" xfId="0" applyBorder="1"/>
    <xf numFmtId="0" fontId="7" fillId="0" borderId="9" xfId="0" applyFont="1" applyBorder="1"/>
    <xf numFmtId="0" fontId="0" fillId="0" borderId="9" xfId="0" applyBorder="1"/>
    <xf numFmtId="0" fontId="2" fillId="0" borderId="0" xfId="0" applyFont="1" applyAlignment="1">
      <alignment horizontal="left" vertical="center" wrapText="1"/>
    </xf>
    <xf numFmtId="0" fontId="0" fillId="0" borderId="0" xfId="0" applyAlignment="1">
      <alignment wrapText="1"/>
    </xf>
    <xf numFmtId="0" fontId="1" fillId="12" borderId="0" xfId="0" applyFont="1" applyFill="1" applyAlignment="1">
      <alignment horizontal="center" vertical="top" wrapText="1"/>
    </xf>
    <xf numFmtId="0" fontId="1" fillId="2" borderId="0" xfId="0" applyFont="1" applyFill="1" applyAlignment="1">
      <alignment horizontal="center" vertical="top" wrapText="1"/>
    </xf>
    <xf numFmtId="0" fontId="1" fillId="2" borderId="19" xfId="0" applyFont="1" applyFill="1" applyBorder="1" applyAlignment="1">
      <alignment horizontal="center" vertical="top" wrapText="1"/>
    </xf>
    <xf numFmtId="0" fontId="1" fillId="2" borderId="13" xfId="0" applyFont="1" applyFill="1" applyBorder="1" applyAlignment="1">
      <alignment horizontal="center" vertical="top" wrapText="1"/>
    </xf>
    <xf numFmtId="0" fontId="1" fillId="2" borderId="5" xfId="0" applyFont="1" applyFill="1" applyBorder="1" applyAlignment="1">
      <alignment horizontal="center" vertical="top" wrapText="1"/>
    </xf>
    <xf numFmtId="0" fontId="1" fillId="3" borderId="5" xfId="0" applyFont="1" applyFill="1" applyBorder="1" applyAlignment="1">
      <alignment horizontal="center" vertical="top" wrapText="1"/>
    </xf>
    <xf numFmtId="0" fontId="0" fillId="0" borderId="0" xfId="0" applyAlignment="1">
      <alignment vertical="top"/>
    </xf>
    <xf numFmtId="0" fontId="0" fillId="0" borderId="4" xfId="0" applyBorder="1" applyAlignment="1">
      <alignment vertical="top" wrapText="1"/>
    </xf>
    <xf numFmtId="0" fontId="11" fillId="0" borderId="4" xfId="0" applyFont="1" applyBorder="1" applyAlignment="1">
      <alignment vertical="top"/>
    </xf>
    <xf numFmtId="0" fontId="9" fillId="0" borderId="4" xfId="0" applyFont="1" applyBorder="1" applyAlignment="1">
      <alignment vertical="top" wrapText="1"/>
    </xf>
    <xf numFmtId="0" fontId="0" fillId="0" borderId="4" xfId="0" applyBorder="1" applyAlignment="1">
      <alignment vertical="top"/>
    </xf>
    <xf numFmtId="0" fontId="13" fillId="0" borderId="4" xfId="0" applyFont="1" applyBorder="1" applyAlignment="1">
      <alignment vertical="top" wrapText="1"/>
    </xf>
    <xf numFmtId="0" fontId="0" fillId="0" borderId="4" xfId="0" applyBorder="1" applyAlignment="1">
      <alignment wrapText="1"/>
    </xf>
    <xf numFmtId="0" fontId="9" fillId="0" borderId="4" xfId="0" applyFont="1" applyBorder="1" applyAlignment="1">
      <alignment wrapText="1"/>
    </xf>
    <xf numFmtId="0" fontId="11" fillId="0" borderId="4" xfId="0" applyFont="1" applyBorder="1" applyAlignment="1">
      <alignment vertical="top" wrapText="1"/>
    </xf>
    <xf numFmtId="0" fontId="0" fillId="0" borderId="4" xfId="0" applyBorder="1" applyAlignment="1">
      <alignment horizontal="left" wrapText="1"/>
    </xf>
    <xf numFmtId="0" fontId="0" fillId="0" borderId="19" xfId="0" applyBorder="1" applyAlignment="1">
      <alignment vertical="top" wrapText="1"/>
    </xf>
    <xf numFmtId="0" fontId="0" fillId="0" borderId="19" xfId="0" applyBorder="1" applyAlignment="1">
      <alignment vertical="top"/>
    </xf>
    <xf numFmtId="0" fontId="0" fillId="0" borderId="9" xfId="0" applyBorder="1" applyAlignment="1">
      <alignment vertical="top"/>
    </xf>
    <xf numFmtId="0" fontId="0" fillId="0" borderId="4" xfId="0" applyBorder="1" applyAlignment="1">
      <alignment horizontal="center" vertical="center"/>
    </xf>
    <xf numFmtId="0" fontId="1" fillId="2" borderId="19" xfId="0" applyFont="1" applyFill="1" applyBorder="1" applyAlignment="1">
      <alignment horizontal="center" vertical="top"/>
    </xf>
    <xf numFmtId="0" fontId="0" fillId="0" borderId="14" xfId="0" applyBorder="1" applyAlignment="1">
      <alignment wrapText="1"/>
    </xf>
    <xf numFmtId="0" fontId="7" fillId="0" borderId="19" xfId="0" applyFont="1" applyBorder="1"/>
    <xf numFmtId="0" fontId="0" fillId="0" borderId="9" xfId="0" applyBorder="1" applyAlignment="1">
      <alignment vertical="top" wrapText="1"/>
    </xf>
    <xf numFmtId="0" fontId="0" fillId="0" borderId="32" xfId="0" applyBorder="1" applyAlignment="1">
      <alignment vertical="top"/>
    </xf>
    <xf numFmtId="0" fontId="0" fillId="0" borderId="19" xfId="0" applyBorder="1" applyAlignment="1">
      <alignment wrapText="1"/>
    </xf>
    <xf numFmtId="0" fontId="0" fillId="0" borderId="14" xfId="0" applyBorder="1" applyAlignment="1">
      <alignment vertical="top"/>
    </xf>
    <xf numFmtId="0" fontId="0" fillId="0" borderId="31" xfId="0" applyBorder="1" applyAlignment="1">
      <alignment vertical="top"/>
    </xf>
    <xf numFmtId="0" fontId="0" fillId="0" borderId="19" xfId="0" applyBorder="1"/>
    <xf numFmtId="0" fontId="0" fillId="0" borderId="21" xfId="0" applyBorder="1" applyAlignment="1">
      <alignment wrapText="1"/>
    </xf>
    <xf numFmtId="0" fontId="0" fillId="0" borderId="23" xfId="0" applyBorder="1" applyAlignment="1">
      <alignment vertical="top" wrapText="1"/>
    </xf>
    <xf numFmtId="0" fontId="0" fillId="0" borderId="23" xfId="0" applyBorder="1"/>
    <xf numFmtId="0" fontId="9" fillId="0" borderId="19" xfId="0" applyFont="1" applyBorder="1" applyAlignment="1">
      <alignment wrapText="1"/>
    </xf>
    <xf numFmtId="0" fontId="0" fillId="0" borderId="23" xfId="0" applyBorder="1" applyAlignment="1">
      <alignment wrapText="1"/>
    </xf>
    <xf numFmtId="0" fontId="0" fillId="0" borderId="18" xfId="0" applyBorder="1" applyAlignment="1">
      <alignment vertical="top"/>
    </xf>
    <xf numFmtId="0" fontId="9" fillId="0" borderId="23" xfId="0" applyFont="1" applyBorder="1" applyAlignment="1">
      <alignment wrapText="1"/>
    </xf>
    <xf numFmtId="0" fontId="0" fillId="0" borderId="20" xfId="0" applyBorder="1" applyAlignment="1">
      <alignment vertical="top" wrapText="1"/>
    </xf>
    <xf numFmtId="0" fontId="0" fillId="0" borderId="22" xfId="0" applyBorder="1" applyAlignment="1">
      <alignment vertical="top" wrapText="1"/>
    </xf>
    <xf numFmtId="0" fontId="0" fillId="0" borderId="23" xfId="0" applyBorder="1" applyAlignment="1">
      <alignment vertical="top"/>
    </xf>
    <xf numFmtId="0" fontId="9" fillId="0" borderId="0" xfId="0" applyFont="1" applyAlignment="1">
      <alignment wrapText="1"/>
    </xf>
    <xf numFmtId="0" fontId="0" fillId="0" borderId="20" xfId="0" applyBorder="1"/>
    <xf numFmtId="0" fontId="15" fillId="0" borderId="4" xfId="0" applyFont="1" applyBorder="1"/>
    <xf numFmtId="0" fontId="4" fillId="0" borderId="4" xfId="0" applyFont="1" applyBorder="1"/>
    <xf numFmtId="0" fontId="16" fillId="0" borderId="0" xfId="0" applyFont="1"/>
    <xf numFmtId="0" fontId="0" fillId="0" borderId="4" xfId="0" applyBorder="1" applyAlignment="1">
      <alignment horizontal="center"/>
    </xf>
    <xf numFmtId="16" fontId="0" fillId="0" borderId="0" xfId="0" applyNumberFormat="1"/>
    <xf numFmtId="0" fontId="0" fillId="13" borderId="0" xfId="0" applyFill="1"/>
    <xf numFmtId="0" fontId="15" fillId="0" borderId="4" xfId="0" applyFont="1" applyBorder="1" applyAlignment="1">
      <alignment wrapText="1"/>
    </xf>
    <xf numFmtId="0" fontId="7" fillId="0" borderId="4" xfId="0" applyFont="1" applyBorder="1" applyAlignment="1">
      <alignment wrapText="1"/>
    </xf>
    <xf numFmtId="0" fontId="7" fillId="0" borderId="9" xfId="0" applyFont="1" applyBorder="1" applyAlignment="1">
      <alignment wrapText="1"/>
    </xf>
    <xf numFmtId="0" fontId="4" fillId="0" borderId="0" xfId="0" applyFont="1"/>
    <xf numFmtId="0" fontId="19" fillId="14" borderId="35" xfId="0" applyFont="1" applyFill="1" applyBorder="1" applyAlignment="1">
      <alignment wrapText="1"/>
    </xf>
    <xf numFmtId="0" fontId="19" fillId="14" borderId="36" xfId="0" applyFont="1" applyFill="1" applyBorder="1" applyAlignment="1">
      <alignment wrapText="1"/>
    </xf>
    <xf numFmtId="0" fontId="19" fillId="14" borderId="37" xfId="0" applyFont="1" applyFill="1" applyBorder="1" applyAlignment="1">
      <alignment wrapText="1"/>
    </xf>
    <xf numFmtId="0" fontId="19" fillId="14" borderId="38" xfId="0" applyFont="1" applyFill="1" applyBorder="1" applyAlignment="1">
      <alignment textRotation="90"/>
    </xf>
    <xf numFmtId="0" fontId="19" fillId="14" borderId="39" xfId="0" applyFont="1" applyFill="1" applyBorder="1" applyAlignment="1">
      <alignment textRotation="90"/>
    </xf>
    <xf numFmtId="0" fontId="19" fillId="14" borderId="40" xfId="0" applyFont="1" applyFill="1" applyBorder="1" applyAlignment="1">
      <alignment textRotation="90"/>
    </xf>
    <xf numFmtId="0" fontId="19" fillId="14" borderId="41" xfId="0" applyFont="1" applyFill="1" applyBorder="1" applyAlignment="1">
      <alignment textRotation="90"/>
    </xf>
    <xf numFmtId="0" fontId="19" fillId="14" borderId="42" xfId="0" applyFont="1" applyFill="1" applyBorder="1" applyAlignment="1">
      <alignment textRotation="90"/>
    </xf>
    <xf numFmtId="0" fontId="19" fillId="14" borderId="43" xfId="0" applyFont="1" applyFill="1" applyBorder="1" applyAlignment="1">
      <alignment textRotation="90"/>
    </xf>
    <xf numFmtId="0" fontId="19" fillId="14" borderId="44" xfId="0" applyFont="1" applyFill="1" applyBorder="1" applyAlignment="1">
      <alignment textRotation="90"/>
    </xf>
    <xf numFmtId="0" fontId="19" fillId="14" borderId="45" xfId="0" applyFont="1" applyFill="1" applyBorder="1" applyAlignment="1">
      <alignment textRotation="90"/>
    </xf>
    <xf numFmtId="0" fontId="15" fillId="15" borderId="0" xfId="0" applyFont="1" applyFill="1"/>
    <xf numFmtId="0" fontId="4" fillId="15" borderId="0" xfId="0" applyFont="1" applyFill="1"/>
    <xf numFmtId="9" fontId="20" fillId="15" borderId="46" xfId="0" applyNumberFormat="1" applyFont="1" applyFill="1" applyBorder="1"/>
    <xf numFmtId="0" fontId="22" fillId="15" borderId="49" xfId="0" applyFont="1" applyFill="1" applyBorder="1"/>
    <xf numFmtId="0" fontId="22" fillId="15" borderId="50" xfId="0" applyFont="1" applyFill="1" applyBorder="1"/>
    <xf numFmtId="0" fontId="22" fillId="15" borderId="51" xfId="0" applyFont="1" applyFill="1" applyBorder="1"/>
    <xf numFmtId="0" fontId="22" fillId="15" borderId="52" xfId="0" applyFont="1" applyFill="1" applyBorder="1"/>
    <xf numFmtId="0" fontId="22" fillId="15" borderId="53" xfId="0" applyFont="1" applyFill="1" applyBorder="1"/>
    <xf numFmtId="0" fontId="4" fillId="15" borderId="2" xfId="0" applyFont="1" applyFill="1" applyBorder="1"/>
    <xf numFmtId="16" fontId="4" fillId="0" borderId="0" xfId="0" applyNumberFormat="1" applyFont="1"/>
    <xf numFmtId="0" fontId="15" fillId="0" borderId="0" xfId="0" applyFont="1"/>
    <xf numFmtId="9" fontId="23" fillId="0" borderId="46" xfId="0" applyNumberFormat="1" applyFont="1" applyBorder="1"/>
    <xf numFmtId="0" fontId="22" fillId="16" borderId="54" xfId="0" applyFont="1" applyFill="1" applyBorder="1"/>
    <xf numFmtId="0" fontId="22" fillId="0" borderId="55" xfId="0" applyFont="1" applyBorder="1"/>
    <xf numFmtId="0" fontId="22" fillId="0" borderId="56" xfId="0" applyFont="1" applyBorder="1"/>
    <xf numFmtId="0" fontId="22" fillId="0" borderId="52" xfId="0" applyFont="1" applyBorder="1"/>
    <xf numFmtId="0" fontId="22" fillId="0" borderId="57" xfId="0" applyFont="1" applyBorder="1"/>
    <xf numFmtId="0" fontId="22" fillId="0" borderId="49" xfId="0" applyFont="1" applyBorder="1"/>
    <xf numFmtId="0" fontId="22" fillId="0" borderId="58" xfId="0" applyFont="1" applyBorder="1"/>
    <xf numFmtId="0" fontId="4" fillId="0" borderId="2" xfId="0" applyFont="1" applyBorder="1"/>
    <xf numFmtId="0" fontId="22" fillId="16" borderId="52" xfId="0" applyFont="1" applyFill="1" applyBorder="1"/>
    <xf numFmtId="0" fontId="22" fillId="0" borderId="54" xfId="0" applyFont="1" applyBorder="1"/>
    <xf numFmtId="0" fontId="22" fillId="0" borderId="59" xfId="0" applyFont="1" applyBorder="1"/>
    <xf numFmtId="0" fontId="22" fillId="0" borderId="60" xfId="0" applyFont="1" applyBorder="1"/>
    <xf numFmtId="0" fontId="22" fillId="0" borderId="61" xfId="0" applyFont="1" applyBorder="1"/>
    <xf numFmtId="0" fontId="22" fillId="0" borderId="62" xfId="0" applyFont="1" applyBorder="1"/>
    <xf numFmtId="0" fontId="22" fillId="16" borderId="63" xfId="0" applyFont="1" applyFill="1" applyBorder="1"/>
    <xf numFmtId="0" fontId="22" fillId="16" borderId="55" xfId="0" applyFont="1" applyFill="1" applyBorder="1"/>
    <xf numFmtId="0" fontId="22" fillId="0" borderId="64" xfId="0" applyFont="1" applyBorder="1"/>
    <xf numFmtId="0" fontId="22" fillId="0" borderId="65" xfId="0" applyFont="1" applyBorder="1"/>
    <xf numFmtId="0" fontId="22" fillId="0" borderId="66" xfId="0" applyFont="1" applyBorder="1"/>
    <xf numFmtId="0" fontId="22" fillId="0" borderId="67" xfId="0" applyFont="1" applyBorder="1"/>
    <xf numFmtId="0" fontId="22" fillId="0" borderId="68" xfId="0" applyFont="1" applyBorder="1"/>
    <xf numFmtId="0" fontId="22" fillId="16" borderId="69" xfId="0" applyFont="1" applyFill="1" applyBorder="1"/>
    <xf numFmtId="0" fontId="22" fillId="0" borderId="70" xfId="0" applyFont="1" applyBorder="1"/>
    <xf numFmtId="0" fontId="22" fillId="0" borderId="71" xfId="0" applyFont="1" applyBorder="1"/>
    <xf numFmtId="0" fontId="22" fillId="0" borderId="72" xfId="0" applyFont="1" applyBorder="1"/>
    <xf numFmtId="0" fontId="22" fillId="0" borderId="73" xfId="0" applyFont="1" applyBorder="1"/>
    <xf numFmtId="0" fontId="22" fillId="0" borderId="74" xfId="0" applyFont="1" applyBorder="1"/>
    <xf numFmtId="0" fontId="15" fillId="17" borderId="0" xfId="0" applyFont="1" applyFill="1"/>
    <xf numFmtId="0" fontId="4" fillId="17" borderId="0" xfId="0" applyFont="1" applyFill="1"/>
    <xf numFmtId="9" fontId="20" fillId="17" borderId="46" xfId="0" applyNumberFormat="1" applyFont="1" applyFill="1" applyBorder="1"/>
    <xf numFmtId="0" fontId="22" fillId="17" borderId="52" xfId="0" applyFont="1" applyFill="1" applyBorder="1"/>
    <xf numFmtId="0" fontId="22" fillId="17" borderId="50" xfId="0" applyFont="1" applyFill="1" applyBorder="1"/>
    <xf numFmtId="0" fontId="22" fillId="17" borderId="53" xfId="0" applyFont="1" applyFill="1" applyBorder="1"/>
    <xf numFmtId="0" fontId="22" fillId="17" borderId="61" xfId="0" applyFont="1" applyFill="1" applyBorder="1"/>
    <xf numFmtId="0" fontId="22" fillId="17" borderId="55" xfId="0" applyFont="1" applyFill="1" applyBorder="1"/>
    <xf numFmtId="0" fontId="22" fillId="17" borderId="58" xfId="0" applyFont="1" applyFill="1" applyBorder="1"/>
    <xf numFmtId="0" fontId="22" fillId="17" borderId="56" xfId="0" applyFont="1" applyFill="1" applyBorder="1"/>
    <xf numFmtId="0" fontId="4" fillId="17" borderId="2" xfId="0" applyFont="1" applyFill="1" applyBorder="1"/>
    <xf numFmtId="0" fontId="22" fillId="18" borderId="59" xfId="0" applyFont="1" applyFill="1" applyBorder="1"/>
    <xf numFmtId="0" fontId="22" fillId="18" borderId="55" xfId="0" applyFont="1" applyFill="1" applyBorder="1"/>
    <xf numFmtId="0" fontId="22" fillId="0" borderId="75" xfId="0" applyFont="1" applyBorder="1"/>
    <xf numFmtId="0" fontId="22" fillId="18" borderId="76" xfId="0" applyFont="1" applyFill="1" applyBorder="1"/>
    <xf numFmtId="0" fontId="22" fillId="0" borderId="77" xfId="0" applyFont="1" applyBorder="1"/>
    <xf numFmtId="0" fontId="15" fillId="19" borderId="0" xfId="0" applyFont="1" applyFill="1"/>
    <xf numFmtId="0" fontId="4" fillId="19" borderId="0" xfId="0" applyFont="1" applyFill="1"/>
    <xf numFmtId="9" fontId="23" fillId="19" borderId="46" xfId="0" applyNumberFormat="1" applyFont="1" applyFill="1" applyBorder="1"/>
    <xf numFmtId="0" fontId="22" fillId="19" borderId="62" xfId="0" applyFont="1" applyFill="1" applyBorder="1"/>
    <xf numFmtId="0" fontId="22" fillId="19" borderId="55" xfId="0" applyFont="1" applyFill="1" applyBorder="1"/>
    <xf numFmtId="0" fontId="22" fillId="19" borderId="56" xfId="0" applyFont="1" applyFill="1" applyBorder="1"/>
    <xf numFmtId="0" fontId="22" fillId="19" borderId="52" xfId="0" applyFont="1" applyFill="1" applyBorder="1"/>
    <xf numFmtId="0" fontId="22" fillId="19" borderId="50" xfId="0" applyFont="1" applyFill="1" applyBorder="1"/>
    <xf numFmtId="0" fontId="22" fillId="19" borderId="51" xfId="0" applyFont="1" applyFill="1" applyBorder="1"/>
    <xf numFmtId="0" fontId="22" fillId="19" borderId="53" xfId="0" applyFont="1" applyFill="1" applyBorder="1"/>
    <xf numFmtId="0" fontId="4" fillId="19" borderId="17" xfId="0" applyFont="1" applyFill="1" applyBorder="1"/>
    <xf numFmtId="0" fontId="4" fillId="19" borderId="2" xfId="0" applyFont="1" applyFill="1" applyBorder="1"/>
    <xf numFmtId="0" fontId="22" fillId="20" borderId="59" xfId="0" applyFont="1" applyFill="1" applyBorder="1"/>
    <xf numFmtId="0" fontId="22" fillId="20" borderId="55" xfId="0" applyFont="1" applyFill="1" applyBorder="1"/>
    <xf numFmtId="0" fontId="4" fillId="0" borderId="17" xfId="0" applyFont="1" applyBorder="1"/>
    <xf numFmtId="0" fontId="22" fillId="0" borderId="78" xfId="0" applyFont="1" applyBorder="1"/>
    <xf numFmtId="0" fontId="22" fillId="20" borderId="76" xfId="0" applyFont="1" applyFill="1" applyBorder="1"/>
    <xf numFmtId="0" fontId="15" fillId="21" borderId="0" xfId="0" applyFont="1" applyFill="1"/>
    <xf numFmtId="0" fontId="4" fillId="21" borderId="0" xfId="0" applyFont="1" applyFill="1"/>
    <xf numFmtId="0" fontId="22" fillId="21" borderId="74" xfId="0" applyFont="1" applyFill="1" applyBorder="1"/>
    <xf numFmtId="0" fontId="22" fillId="21" borderId="72" xfId="0" applyFont="1" applyFill="1" applyBorder="1"/>
    <xf numFmtId="0" fontId="22" fillId="21" borderId="77" xfId="0" applyFont="1" applyFill="1" applyBorder="1"/>
    <xf numFmtId="0" fontId="22" fillId="21" borderId="73" xfId="0" applyFont="1" applyFill="1" applyBorder="1"/>
    <xf numFmtId="0" fontId="22" fillId="21" borderId="79" xfId="0" applyFont="1" applyFill="1" applyBorder="1"/>
    <xf numFmtId="0" fontId="22" fillId="21" borderId="80" xfId="0" applyFont="1" applyFill="1" applyBorder="1"/>
    <xf numFmtId="0" fontId="22" fillId="21" borderId="81" xfId="0" applyFont="1" applyFill="1" applyBorder="1"/>
    <xf numFmtId="0" fontId="22" fillId="21" borderId="82" xfId="0" applyFont="1" applyFill="1" applyBorder="1"/>
    <xf numFmtId="0" fontId="4" fillId="21" borderId="2" xfId="0" applyFont="1" applyFill="1" applyBorder="1"/>
    <xf numFmtId="0" fontId="4" fillId="22" borderId="84" xfId="0" applyFont="1" applyFill="1" applyBorder="1"/>
    <xf numFmtId="0" fontId="4" fillId="0" borderId="85" xfId="0" applyFont="1" applyBorder="1"/>
    <xf numFmtId="0" fontId="4" fillId="22" borderId="86" xfId="0" applyFont="1" applyFill="1" applyBorder="1"/>
    <xf numFmtId="0" fontId="4" fillId="0" borderId="87" xfId="0" applyFont="1" applyBorder="1"/>
    <xf numFmtId="0" fontId="4" fillId="0" borderId="86" xfId="0" applyFont="1" applyBorder="1"/>
    <xf numFmtId="0" fontId="4" fillId="22" borderId="87" xfId="0" applyFont="1" applyFill="1" applyBorder="1"/>
    <xf numFmtId="0" fontId="4" fillId="0" borderId="88" xfId="0" applyFont="1" applyBorder="1"/>
    <xf numFmtId="0" fontId="4" fillId="22" borderId="89" xfId="0" applyFont="1" applyFill="1" applyBorder="1"/>
    <xf numFmtId="0" fontId="22" fillId="21" borderId="70" xfId="0" applyFont="1" applyFill="1" applyBorder="1"/>
    <xf numFmtId="0" fontId="4" fillId="21" borderId="7" xfId="0" applyFont="1" applyFill="1" applyBorder="1"/>
    <xf numFmtId="0" fontId="4" fillId="0" borderId="12" xfId="0" applyFont="1" applyBorder="1"/>
    <xf numFmtId="0" fontId="4" fillId="22" borderId="91" xfId="0" applyFont="1" applyFill="1" applyBorder="1"/>
    <xf numFmtId="0" fontId="4" fillId="22" borderId="92" xfId="0" applyFont="1" applyFill="1" applyBorder="1"/>
    <xf numFmtId="0" fontId="24" fillId="0" borderId="0" xfId="0" applyFont="1"/>
    <xf numFmtId="164" fontId="0" fillId="0" borderId="4" xfId="0" applyNumberFormat="1" applyBorder="1"/>
    <xf numFmtId="164" fontId="7" fillId="0" borderId="4" xfId="0" applyNumberFormat="1" applyFont="1" applyBorder="1"/>
    <xf numFmtId="1" fontId="0" fillId="0" borderId="4" xfId="0" applyNumberFormat="1" applyBorder="1" applyAlignment="1">
      <alignment horizontal="center"/>
    </xf>
    <xf numFmtId="0" fontId="25" fillId="0" borderId="0" xfId="0" applyFont="1"/>
    <xf numFmtId="9" fontId="0" fillId="0" borderId="4" xfId="0" applyNumberFormat="1" applyBorder="1" applyAlignment="1">
      <alignment horizontal="center"/>
    </xf>
    <xf numFmtId="0" fontId="0" fillId="13" borderId="4" xfId="0" applyFill="1" applyBorder="1"/>
    <xf numFmtId="0" fontId="1" fillId="2" borderId="8" xfId="0" applyFont="1" applyFill="1" applyBorder="1" applyAlignment="1">
      <alignment horizontal="center" vertical="top" wrapText="1"/>
    </xf>
    <xf numFmtId="0" fontId="0" fillId="0" borderId="32" xfId="0" applyBorder="1" applyAlignment="1">
      <alignment vertical="top" wrapText="1"/>
    </xf>
    <xf numFmtId="0" fontId="0" fillId="0" borderId="32" xfId="0" applyBorder="1"/>
    <xf numFmtId="0" fontId="0" fillId="0" borderId="22" xfId="0" applyBorder="1" applyAlignment="1">
      <alignment vertical="top"/>
    </xf>
    <xf numFmtId="0" fontId="0" fillId="0" borderId="18" xfId="0" applyBorder="1" applyAlignment="1">
      <alignment horizontal="left" vertical="top" wrapText="1"/>
    </xf>
    <xf numFmtId="0" fontId="9" fillId="0" borderId="23" xfId="0" applyFont="1" applyBorder="1" applyAlignment="1">
      <alignment vertical="top" wrapText="1"/>
    </xf>
    <xf numFmtId="0" fontId="0" fillId="0" borderId="4" xfId="1" applyFont="1" applyBorder="1"/>
    <xf numFmtId="0" fontId="0" fillId="0" borderId="23" xfId="0" applyBorder="1" applyAlignment="1">
      <alignment horizontal="center" vertical="center"/>
    </xf>
    <xf numFmtId="0" fontId="0" fillId="0" borderId="19" xfId="0" applyBorder="1" applyAlignment="1">
      <alignment horizontal="center" vertical="center"/>
    </xf>
    <xf numFmtId="0" fontId="0" fillId="0" borderId="14" xfId="0" applyBorder="1" applyAlignment="1">
      <alignment horizontal="center" vertical="center"/>
    </xf>
    <xf numFmtId="0" fontId="0" fillId="0" borderId="21" xfId="0" applyBorder="1" applyAlignment="1">
      <alignment horizontal="center" vertical="center"/>
    </xf>
    <xf numFmtId="0" fontId="0" fillId="0" borderId="18" xfId="0" applyBorder="1" applyAlignment="1">
      <alignment horizontal="center" vertical="center"/>
    </xf>
    <xf numFmtId="0" fontId="0" fillId="0" borderId="0" xfId="0" applyAlignment="1">
      <alignment horizontal="center" vertical="center"/>
    </xf>
    <xf numFmtId="1" fontId="0" fillId="0" borderId="0" xfId="0" applyNumberFormat="1"/>
    <xf numFmtId="0" fontId="7" fillId="23" borderId="4" xfId="0" applyFont="1" applyFill="1" applyBorder="1"/>
    <xf numFmtId="0" fontId="0" fillId="23" borderId="4" xfId="0" applyFill="1" applyBorder="1"/>
    <xf numFmtId="0" fontId="7" fillId="23" borderId="9" xfId="0" applyFont="1" applyFill="1" applyBorder="1"/>
    <xf numFmtId="0" fontId="7" fillId="23" borderId="19" xfId="0" applyFont="1" applyFill="1" applyBorder="1"/>
    <xf numFmtId="0" fontId="0" fillId="23" borderId="9" xfId="0" applyFill="1" applyBorder="1"/>
    <xf numFmtId="0" fontId="0" fillId="23" borderId="19" xfId="0" applyFill="1" applyBorder="1"/>
    <xf numFmtId="0" fontId="18" fillId="23" borderId="19" xfId="1" applyFont="1" applyFill="1" applyBorder="1" applyAlignment="1">
      <alignment wrapText="1"/>
    </xf>
    <xf numFmtId="0" fontId="17" fillId="23" borderId="4" xfId="1" applyFill="1" applyBorder="1" applyAlignment="1">
      <alignment wrapText="1"/>
    </xf>
    <xf numFmtId="0" fontId="17" fillId="23" borderId="4" xfId="1" applyFill="1" applyBorder="1"/>
    <xf numFmtId="0" fontId="17" fillId="23" borderId="19" xfId="1" applyFill="1" applyBorder="1"/>
    <xf numFmtId="0" fontId="0" fillId="0" borderId="0" xfId="1" applyFont="1" applyBorder="1"/>
    <xf numFmtId="0" fontId="7" fillId="0" borderId="4" xfId="1" applyFont="1" applyBorder="1"/>
    <xf numFmtId="0" fontId="9" fillId="0" borderId="22" xfId="0" applyFont="1" applyBorder="1" applyAlignment="1">
      <alignment wrapText="1"/>
    </xf>
    <xf numFmtId="0" fontId="27" fillId="0" borderId="94" xfId="0" applyFont="1" applyBorder="1" applyAlignment="1">
      <alignment readingOrder="1"/>
    </xf>
    <xf numFmtId="0" fontId="28" fillId="0" borderId="94" xfId="0" applyFont="1" applyBorder="1" applyAlignment="1">
      <alignment readingOrder="1"/>
    </xf>
    <xf numFmtId="0" fontId="4" fillId="0" borderId="13" xfId="0" applyFont="1" applyBorder="1"/>
    <xf numFmtId="0" fontId="4" fillId="0" borderId="5" xfId="0" applyFont="1" applyBorder="1"/>
    <xf numFmtId="0" fontId="15" fillId="24" borderId="0" xfId="0" applyFont="1" applyFill="1"/>
    <xf numFmtId="0" fontId="4" fillId="24" borderId="0" xfId="0" applyFont="1" applyFill="1"/>
    <xf numFmtId="0" fontId="4" fillId="24" borderId="5" xfId="0" applyFont="1" applyFill="1" applyBorder="1"/>
    <xf numFmtId="0" fontId="4" fillId="24" borderId="2" xfId="0" applyFont="1" applyFill="1" applyBorder="1"/>
    <xf numFmtId="0" fontId="4" fillId="24" borderId="4" xfId="0" applyFont="1" applyFill="1" applyBorder="1"/>
    <xf numFmtId="0" fontId="4" fillId="24" borderId="23" xfId="0" applyFont="1" applyFill="1" applyBorder="1"/>
    <xf numFmtId="0" fontId="4" fillId="0" borderId="23" xfId="0" applyFont="1" applyBorder="1"/>
    <xf numFmtId="0" fontId="4" fillId="0" borderId="9" xfId="0" applyFont="1" applyBorder="1"/>
    <xf numFmtId="0" fontId="4" fillId="0" borderId="99" xfId="0" applyFont="1" applyBorder="1"/>
    <xf numFmtId="0" fontId="4" fillId="0" borderId="100" xfId="0" applyFont="1" applyBorder="1"/>
    <xf numFmtId="0" fontId="4" fillId="0" borderId="101" xfId="0" applyFont="1" applyBorder="1"/>
    <xf numFmtId="0" fontId="4" fillId="0" borderId="102" xfId="0" applyFont="1" applyBorder="1"/>
    <xf numFmtId="0" fontId="4" fillId="0" borderId="14" xfId="0" applyFont="1" applyBorder="1"/>
    <xf numFmtId="0" fontId="4" fillId="0" borderId="105" xfId="0" applyFont="1" applyBorder="1"/>
    <xf numFmtId="0" fontId="4" fillId="24" borderId="99" xfId="0" applyFont="1" applyFill="1" applyBorder="1"/>
    <xf numFmtId="0" fontId="4" fillId="24" borderId="103" xfId="0" applyFont="1" applyFill="1" applyBorder="1"/>
    <xf numFmtId="0" fontId="4" fillId="0" borderId="21" xfId="0" applyFont="1" applyBorder="1"/>
    <xf numFmtId="0" fontId="4" fillId="0" borderId="19" xfId="0" applyFont="1" applyBorder="1"/>
    <xf numFmtId="0" fontId="15" fillId="25" borderId="0" xfId="0" applyFont="1" applyFill="1"/>
    <xf numFmtId="0" fontId="4" fillId="25" borderId="0" xfId="0" applyFont="1" applyFill="1"/>
    <xf numFmtId="0" fontId="4" fillId="25" borderId="23" xfId="0" applyFont="1" applyFill="1" applyBorder="1"/>
    <xf numFmtId="0" fontId="4" fillId="25" borderId="22" xfId="0" applyFont="1" applyFill="1" applyBorder="1"/>
    <xf numFmtId="0" fontId="0" fillId="25" borderId="0" xfId="0" applyFill="1"/>
    <xf numFmtId="14" fontId="4" fillId="0" borderId="0" xfId="0" applyNumberFormat="1" applyFont="1"/>
    <xf numFmtId="14" fontId="0" fillId="0" borderId="0" xfId="0" applyNumberFormat="1"/>
    <xf numFmtId="0" fontId="4" fillId="24" borderId="9" xfId="0" applyFont="1" applyFill="1" applyBorder="1"/>
    <xf numFmtId="0" fontId="4" fillId="0" borderId="26" xfId="0" applyFont="1" applyBorder="1"/>
    <xf numFmtId="0" fontId="4" fillId="25" borderId="100" xfId="0" applyFont="1" applyFill="1" applyBorder="1"/>
    <xf numFmtId="0" fontId="4" fillId="25" borderId="4" xfId="0" applyFont="1" applyFill="1" applyBorder="1"/>
    <xf numFmtId="0" fontId="4" fillId="25" borderId="99" xfId="0" applyFont="1" applyFill="1" applyBorder="1"/>
    <xf numFmtId="0" fontId="4" fillId="25" borderId="103" xfId="0" applyFont="1" applyFill="1" applyBorder="1"/>
    <xf numFmtId="0" fontId="4" fillId="0" borderId="90" xfId="0" applyFont="1" applyBorder="1"/>
    <xf numFmtId="0" fontId="4" fillId="0" borderId="8" xfId="0" applyFont="1" applyBorder="1"/>
    <xf numFmtId="0" fontId="15" fillId="23" borderId="0" xfId="0" applyFont="1" applyFill="1"/>
    <xf numFmtId="0" fontId="4" fillId="23" borderId="0" xfId="0" applyFont="1" applyFill="1"/>
    <xf numFmtId="0" fontId="4" fillId="23" borderId="4" xfId="0" applyFont="1" applyFill="1" applyBorder="1"/>
    <xf numFmtId="0" fontId="4" fillId="23" borderId="107" xfId="0" applyFont="1" applyFill="1" applyBorder="1"/>
    <xf numFmtId="0" fontId="4" fillId="23" borderId="30" xfId="0" applyFont="1" applyFill="1" applyBorder="1"/>
    <xf numFmtId="0" fontId="4" fillId="23" borderId="96" xfId="0" applyFont="1" applyFill="1" applyBorder="1"/>
    <xf numFmtId="0" fontId="4" fillId="25" borderId="14" xfId="0" applyFont="1" applyFill="1" applyBorder="1"/>
    <xf numFmtId="0" fontId="15" fillId="23" borderId="109" xfId="0" applyFont="1" applyFill="1" applyBorder="1"/>
    <xf numFmtId="0" fontId="4" fillId="23" borderId="110" xfId="0" applyFont="1" applyFill="1" applyBorder="1"/>
    <xf numFmtId="0" fontId="4" fillId="23" borderId="111" xfId="0" applyFont="1" applyFill="1" applyBorder="1"/>
    <xf numFmtId="0" fontId="4" fillId="23" borderId="14" xfId="0" applyFont="1" applyFill="1" applyBorder="1"/>
    <xf numFmtId="0" fontId="4" fillId="23" borderId="100" xfId="0" applyFont="1" applyFill="1" applyBorder="1"/>
    <xf numFmtId="0" fontId="4" fillId="23" borderId="99" xfId="0" applyFont="1" applyFill="1" applyBorder="1"/>
    <xf numFmtId="0" fontId="4" fillId="23" borderId="103" xfId="0" applyFont="1" applyFill="1" applyBorder="1"/>
    <xf numFmtId="0" fontId="15" fillId="11" borderId="0" xfId="0" applyFont="1" applyFill="1"/>
    <xf numFmtId="0" fontId="4" fillId="11" borderId="0" xfId="0" applyFont="1" applyFill="1"/>
    <xf numFmtId="0" fontId="4" fillId="11" borderId="4" xfId="0" applyFont="1" applyFill="1" applyBorder="1"/>
    <xf numFmtId="0" fontId="4" fillId="11" borderId="95" xfId="0" applyFont="1" applyFill="1" applyBorder="1"/>
    <xf numFmtId="0" fontId="4" fillId="11" borderId="30" xfId="0" applyFont="1" applyFill="1" applyBorder="1"/>
    <xf numFmtId="0" fontId="4" fillId="11" borderId="8" xfId="0" applyFont="1" applyFill="1" applyBorder="1"/>
    <xf numFmtId="0" fontId="4" fillId="11" borderId="23" xfId="0" applyFont="1" applyFill="1" applyBorder="1"/>
    <xf numFmtId="0" fontId="4" fillId="11" borderId="22" xfId="0" applyFont="1" applyFill="1" applyBorder="1"/>
    <xf numFmtId="0" fontId="4" fillId="11" borderId="14" xfId="0" applyFont="1" applyFill="1" applyBorder="1"/>
    <xf numFmtId="0" fontId="4" fillId="11" borderId="100" xfId="0" applyFont="1" applyFill="1" applyBorder="1"/>
    <xf numFmtId="0" fontId="4" fillId="11" borderId="103" xfId="0" applyFont="1" applyFill="1" applyBorder="1"/>
    <xf numFmtId="0" fontId="15" fillId="7" borderId="0" xfId="0" applyFont="1" applyFill="1"/>
    <xf numFmtId="0" fontId="4" fillId="7" borderId="0" xfId="0" applyFont="1" applyFill="1"/>
    <xf numFmtId="0" fontId="4" fillId="7" borderId="4" xfId="0" applyFont="1" applyFill="1" applyBorder="1"/>
    <xf numFmtId="0" fontId="4" fillId="7" borderId="17" xfId="0" applyFont="1" applyFill="1" applyBorder="1"/>
    <xf numFmtId="0" fontId="4" fillId="7" borderId="7" xfId="0" applyFont="1" applyFill="1" applyBorder="1"/>
    <xf numFmtId="0" fontId="4" fillId="7" borderId="30" xfId="0" applyFont="1" applyFill="1" applyBorder="1"/>
    <xf numFmtId="0" fontId="4" fillId="7" borderId="23" xfId="0" applyFont="1" applyFill="1" applyBorder="1"/>
    <xf numFmtId="0" fontId="4" fillId="7" borderId="14" xfId="0" applyFont="1" applyFill="1" applyBorder="1"/>
    <xf numFmtId="0" fontId="4" fillId="7" borderId="100" xfId="0" applyFont="1" applyFill="1" applyBorder="1"/>
    <xf numFmtId="0" fontId="4" fillId="7" borderId="103" xfId="0" applyFont="1" applyFill="1" applyBorder="1"/>
    <xf numFmtId="0" fontId="15" fillId="4" borderId="0" xfId="0" applyFont="1" applyFill="1"/>
    <xf numFmtId="0" fontId="4" fillId="4" borderId="0" xfId="0" applyFont="1" applyFill="1"/>
    <xf numFmtId="0" fontId="4" fillId="4" borderId="4" xfId="0" applyFont="1" applyFill="1" applyBorder="1"/>
    <xf numFmtId="0" fontId="4" fillId="4" borderId="17" xfId="0" applyFont="1" applyFill="1" applyBorder="1"/>
    <xf numFmtId="0" fontId="4" fillId="4" borderId="2" xfId="0" applyFont="1" applyFill="1" applyBorder="1"/>
    <xf numFmtId="0" fontId="4" fillId="4" borderId="7" xfId="0" applyFont="1" applyFill="1" applyBorder="1"/>
    <xf numFmtId="0" fontId="4" fillId="4" borderId="96" xfId="0" applyFont="1" applyFill="1" applyBorder="1"/>
    <xf numFmtId="0" fontId="4" fillId="4" borderId="23" xfId="0" applyFont="1" applyFill="1" applyBorder="1"/>
    <xf numFmtId="0" fontId="4" fillId="4" borderId="22" xfId="0" applyFont="1" applyFill="1" applyBorder="1"/>
    <xf numFmtId="0" fontId="4" fillId="4" borderId="100" xfId="0" applyFont="1" applyFill="1" applyBorder="1"/>
    <xf numFmtId="0" fontId="4" fillId="4" borderId="103" xfId="0" applyFont="1" applyFill="1" applyBorder="1"/>
    <xf numFmtId="0" fontId="22" fillId="15" borderId="4" xfId="0" applyFont="1" applyFill="1" applyBorder="1"/>
    <xf numFmtId="0" fontId="22" fillId="16" borderId="4" xfId="0" applyFont="1" applyFill="1" applyBorder="1"/>
    <xf numFmtId="0" fontId="22" fillId="0" borderId="4" xfId="0" applyFont="1" applyBorder="1"/>
    <xf numFmtId="0" fontId="22" fillId="17" borderId="4" xfId="0" applyFont="1" applyFill="1" applyBorder="1"/>
    <xf numFmtId="0" fontId="22" fillId="18" borderId="4" xfId="0" applyFont="1" applyFill="1" applyBorder="1"/>
    <xf numFmtId="0" fontId="22" fillId="19" borderId="4" xfId="0" applyFont="1" applyFill="1" applyBorder="1"/>
    <xf numFmtId="0" fontId="22" fillId="20" borderId="4" xfId="0" applyFont="1" applyFill="1" applyBorder="1"/>
    <xf numFmtId="0" fontId="22" fillId="24" borderId="4" xfId="0" applyFont="1" applyFill="1" applyBorder="1"/>
    <xf numFmtId="0" fontId="22" fillId="25" borderId="4" xfId="0" applyFont="1" applyFill="1" applyBorder="1"/>
    <xf numFmtId="0" fontId="22" fillId="23" borderId="4" xfId="0" applyFont="1" applyFill="1" applyBorder="1"/>
    <xf numFmtId="0" fontId="22" fillId="11" borderId="4" xfId="0" applyFont="1" applyFill="1" applyBorder="1"/>
    <xf numFmtId="0" fontId="22" fillId="7" borderId="4" xfId="0" applyFont="1" applyFill="1" applyBorder="1"/>
    <xf numFmtId="0" fontId="22" fillId="4" borderId="4" xfId="0" applyFont="1" applyFill="1" applyBorder="1"/>
    <xf numFmtId="0" fontId="4" fillId="15" borderId="17" xfId="0" applyFont="1" applyFill="1" applyBorder="1"/>
    <xf numFmtId="0" fontId="4" fillId="17" borderId="17" xfId="0" applyFont="1" applyFill="1" applyBorder="1"/>
    <xf numFmtId="0" fontId="4" fillId="24" borderId="18" xfId="0" applyFont="1" applyFill="1" applyBorder="1"/>
    <xf numFmtId="0" fontId="4" fillId="24" borderId="14" xfId="0" applyFont="1" applyFill="1" applyBorder="1"/>
    <xf numFmtId="0" fontId="4" fillId="0" borderId="112" xfId="0" applyFont="1" applyBorder="1"/>
    <xf numFmtId="0" fontId="4" fillId="25" borderId="18" xfId="0" applyFont="1" applyFill="1" applyBorder="1"/>
    <xf numFmtId="0" fontId="4" fillId="4" borderId="14" xfId="0" applyFont="1" applyFill="1" applyBorder="1"/>
    <xf numFmtId="0" fontId="19" fillId="14" borderId="113" xfId="0" applyFont="1" applyFill="1" applyBorder="1" applyAlignment="1">
      <alignment textRotation="90"/>
    </xf>
    <xf numFmtId="0" fontId="19" fillId="14" borderId="114" xfId="0" applyFont="1" applyFill="1" applyBorder="1" applyAlignment="1">
      <alignment textRotation="90"/>
    </xf>
    <xf numFmtId="0" fontId="19" fillId="14" borderId="115" xfId="0" applyFont="1" applyFill="1" applyBorder="1" applyAlignment="1">
      <alignment textRotation="90"/>
    </xf>
    <xf numFmtId="0" fontId="19" fillId="14" borderId="116" xfId="0" applyFont="1" applyFill="1" applyBorder="1" applyAlignment="1">
      <alignment textRotation="90"/>
    </xf>
    <xf numFmtId="0" fontId="19" fillId="14" borderId="117" xfId="0" applyFont="1" applyFill="1" applyBorder="1" applyAlignment="1">
      <alignment textRotation="90"/>
    </xf>
    <xf numFmtId="0" fontId="19" fillId="14" borderId="118" xfId="0" applyFont="1" applyFill="1" applyBorder="1" applyAlignment="1">
      <alignment textRotation="90"/>
    </xf>
    <xf numFmtId="0" fontId="19" fillId="14" borderId="119" xfId="0" applyFont="1" applyFill="1" applyBorder="1" applyAlignment="1">
      <alignment textRotation="90"/>
    </xf>
    <xf numFmtId="0" fontId="19" fillId="14" borderId="120" xfId="0" applyFont="1" applyFill="1" applyBorder="1" applyAlignment="1">
      <alignment textRotation="90"/>
    </xf>
    <xf numFmtId="0" fontId="22" fillId="21" borderId="106" xfId="0" applyFont="1" applyFill="1" applyBorder="1"/>
    <xf numFmtId="0" fontId="22" fillId="20" borderId="100" xfId="0" applyFont="1" applyFill="1" applyBorder="1"/>
    <xf numFmtId="0" fontId="22" fillId="0" borderId="99" xfId="0" applyFont="1" applyBorder="1"/>
    <xf numFmtId="0" fontId="22" fillId="0" borderId="100" xfId="0" applyFont="1" applyBorder="1"/>
    <xf numFmtId="0" fontId="22" fillId="20" borderId="99" xfId="0" applyFont="1" applyFill="1" applyBorder="1"/>
    <xf numFmtId="0" fontId="22" fillId="0" borderId="101" xfId="0" applyFont="1" applyBorder="1"/>
    <xf numFmtId="0" fontId="22" fillId="0" borderId="102" xfId="0" applyFont="1" applyBorder="1"/>
    <xf numFmtId="0" fontId="22" fillId="20" borderId="103" xfId="0" applyFont="1" applyFill="1" applyBorder="1"/>
    <xf numFmtId="0" fontId="22" fillId="0" borderId="9" xfId="0" applyFont="1" applyBorder="1"/>
    <xf numFmtId="0" fontId="22" fillId="0" borderId="19" xfId="0" applyFont="1" applyBorder="1"/>
    <xf numFmtId="0" fontId="22" fillId="24" borderId="23" xfId="0" applyFont="1" applyFill="1" applyBorder="1"/>
    <xf numFmtId="0" fontId="22" fillId="18" borderId="100" xfId="0" applyFont="1" applyFill="1" applyBorder="1"/>
    <xf numFmtId="0" fontId="22" fillId="18" borderId="103" xfId="0" applyFont="1" applyFill="1" applyBorder="1"/>
    <xf numFmtId="0" fontId="22" fillId="17" borderId="14" xfId="0" applyFont="1" applyFill="1" applyBorder="1"/>
    <xf numFmtId="0" fontId="22" fillId="0" borderId="14" xfId="0" applyFont="1" applyBorder="1"/>
    <xf numFmtId="0" fontId="22" fillId="0" borderId="21" xfId="0" applyFont="1" applyBorder="1"/>
    <xf numFmtId="0" fontId="22" fillId="19" borderId="23" xfId="0" applyFont="1" applyFill="1" applyBorder="1"/>
    <xf numFmtId="0" fontId="22" fillId="19" borderId="22" xfId="0" applyFont="1" applyFill="1" applyBorder="1"/>
    <xf numFmtId="0" fontId="22" fillId="16" borderId="100" xfId="0" applyFont="1" applyFill="1" applyBorder="1"/>
    <xf numFmtId="0" fontId="22" fillId="16" borderId="99" xfId="0" applyFont="1" applyFill="1" applyBorder="1"/>
    <xf numFmtId="0" fontId="22" fillId="16" borderId="103" xfId="0" applyFont="1" applyFill="1" applyBorder="1"/>
    <xf numFmtId="0" fontId="22" fillId="15" borderId="14" xfId="0" applyFont="1" applyFill="1" applyBorder="1"/>
    <xf numFmtId="0" fontId="22" fillId="17" borderId="23" xfId="0" applyFont="1" applyFill="1" applyBorder="1"/>
    <xf numFmtId="0" fontId="22" fillId="17" borderId="22" xfId="0" applyFont="1" applyFill="1" applyBorder="1"/>
    <xf numFmtId="0" fontId="22" fillId="23" borderId="100" xfId="0" applyFont="1" applyFill="1" applyBorder="1"/>
    <xf numFmtId="0" fontId="22" fillId="23" borderId="99" xfId="0" applyFont="1" applyFill="1" applyBorder="1"/>
    <xf numFmtId="0" fontId="22" fillId="8" borderId="4" xfId="0" applyFont="1" applyFill="1" applyBorder="1"/>
    <xf numFmtId="0" fontId="29" fillId="0" borderId="0" xfId="0" applyFont="1"/>
    <xf numFmtId="0" fontId="2" fillId="0" borderId="1" xfId="0" applyFont="1" applyBorder="1" applyAlignment="1">
      <alignment horizontal="left" vertical="center" wrapText="1"/>
    </xf>
    <xf numFmtId="0" fontId="0" fillId="0" borderId="19" xfId="0" applyBorder="1" applyAlignment="1">
      <alignment horizontal="center"/>
    </xf>
    <xf numFmtId="0" fontId="0" fillId="0" borderId="26" xfId="0" applyBorder="1" applyAlignment="1">
      <alignment horizontal="center"/>
    </xf>
    <xf numFmtId="0" fontId="0" fillId="0" borderId="23" xfId="0" applyBorder="1" applyAlignment="1">
      <alignment horizontal="center"/>
    </xf>
    <xf numFmtId="0" fontId="8" fillId="4" borderId="93" xfId="0" applyFont="1" applyFill="1" applyBorder="1" applyAlignment="1">
      <alignment horizontal="center" vertical="top" wrapText="1"/>
    </xf>
    <xf numFmtId="0" fontId="1" fillId="4" borderId="93" xfId="0" applyFont="1" applyFill="1" applyBorder="1" applyAlignment="1">
      <alignment horizontal="center" vertical="top" wrapText="1"/>
    </xf>
    <xf numFmtId="0" fontId="26" fillId="4" borderId="9" xfId="0" applyFont="1" applyFill="1" applyBorder="1" applyAlignment="1">
      <alignment horizontal="center" vertical="top" wrapText="1"/>
    </xf>
    <xf numFmtId="0" fontId="26" fillId="4" borderId="32" xfId="0" applyFont="1" applyFill="1" applyBorder="1" applyAlignment="1">
      <alignment horizontal="center" vertical="top" wrapText="1"/>
    </xf>
    <xf numFmtId="0" fontId="26" fillId="4" borderId="14" xfId="0" applyFont="1" applyFill="1" applyBorder="1" applyAlignment="1">
      <alignment horizontal="center" vertical="top" wrapText="1"/>
    </xf>
    <xf numFmtId="0" fontId="0" fillId="0" borderId="4" xfId="0" applyBorder="1" applyAlignment="1">
      <alignment vertical="center" wrapText="1"/>
    </xf>
    <xf numFmtId="0" fontId="0" fillId="0" borderId="4" xfId="0" applyBorder="1" applyAlignment="1">
      <alignment horizontal="center"/>
    </xf>
    <xf numFmtId="0" fontId="7" fillId="0" borderId="9" xfId="0" applyFont="1" applyBorder="1" applyAlignment="1">
      <alignment horizontal="center"/>
    </xf>
    <xf numFmtId="0" fontId="7" fillId="0" borderId="14" xfId="0" applyFont="1" applyBorder="1" applyAlignment="1">
      <alignment horizontal="center"/>
    </xf>
    <xf numFmtId="0" fontId="15" fillId="24" borderId="98" xfId="0" applyFont="1" applyFill="1" applyBorder="1" applyAlignment="1">
      <alignment horizontal="left"/>
    </xf>
    <xf numFmtId="0" fontId="15" fillId="24" borderId="104" xfId="0" applyFont="1" applyFill="1" applyBorder="1" applyAlignment="1">
      <alignment horizontal="left"/>
    </xf>
    <xf numFmtId="0" fontId="15" fillId="24" borderId="8" xfId="0" applyFont="1" applyFill="1" applyBorder="1" applyAlignment="1">
      <alignment horizontal="center"/>
    </xf>
    <xf numFmtId="0" fontId="15" fillId="24" borderId="83" xfId="0" applyFont="1" applyFill="1" applyBorder="1" applyAlignment="1">
      <alignment horizontal="center"/>
    </xf>
    <xf numFmtId="0" fontId="15" fillId="24" borderId="13" xfId="0" applyFont="1" applyFill="1" applyBorder="1" applyAlignment="1">
      <alignment horizontal="center"/>
    </xf>
    <xf numFmtId="0" fontId="15" fillId="25" borderId="97" xfId="0" applyFont="1" applyFill="1" applyBorder="1" applyAlignment="1">
      <alignment horizontal="left"/>
    </xf>
    <xf numFmtId="0" fontId="15" fillId="25" borderId="98" xfId="0" applyFont="1" applyFill="1" applyBorder="1" applyAlignment="1">
      <alignment horizontal="left"/>
    </xf>
    <xf numFmtId="0" fontId="15" fillId="25" borderId="104" xfId="0" applyFont="1" applyFill="1" applyBorder="1" applyAlignment="1">
      <alignment horizontal="left"/>
    </xf>
    <xf numFmtId="0" fontId="15" fillId="4" borderId="97" xfId="0" applyFont="1" applyFill="1" applyBorder="1" applyAlignment="1">
      <alignment horizontal="left"/>
    </xf>
    <xf numFmtId="0" fontId="15" fillId="4" borderId="98" xfId="0" applyFont="1" applyFill="1" applyBorder="1" applyAlignment="1">
      <alignment horizontal="left"/>
    </xf>
    <xf numFmtId="0" fontId="15" fillId="4" borderId="104" xfId="0" applyFont="1" applyFill="1" applyBorder="1" applyAlignment="1">
      <alignment horizontal="left"/>
    </xf>
    <xf numFmtId="0" fontId="15" fillId="11" borderId="97" xfId="0" applyFont="1" applyFill="1" applyBorder="1" applyAlignment="1">
      <alignment horizontal="left"/>
    </xf>
    <xf numFmtId="0" fontId="15" fillId="11" borderId="98" xfId="0" applyFont="1" applyFill="1" applyBorder="1" applyAlignment="1">
      <alignment horizontal="left"/>
    </xf>
    <xf numFmtId="0" fontId="15" fillId="11" borderId="104" xfId="0" applyFont="1" applyFill="1" applyBorder="1" applyAlignment="1">
      <alignment horizontal="left"/>
    </xf>
    <xf numFmtId="0" fontId="15" fillId="7" borderId="97" xfId="0" applyFont="1" applyFill="1" applyBorder="1" applyAlignment="1">
      <alignment horizontal="left"/>
    </xf>
    <xf numFmtId="0" fontId="15" fillId="7" borderId="98" xfId="0" applyFont="1" applyFill="1" applyBorder="1" applyAlignment="1">
      <alignment horizontal="left"/>
    </xf>
    <xf numFmtId="0" fontId="15" fillId="7" borderId="104" xfId="0" applyFont="1" applyFill="1" applyBorder="1" applyAlignment="1">
      <alignment horizontal="left"/>
    </xf>
    <xf numFmtId="0" fontId="0" fillId="0" borderId="0" xfId="0" applyAlignment="1">
      <alignmen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0" fillId="0" borderId="0" xfId="0" applyAlignment="1">
      <alignment horizontal="center" vertical="top" wrapText="1"/>
    </xf>
    <xf numFmtId="0" fontId="0" fillId="0" borderId="4" xfId="0" applyBorder="1" applyAlignment="1">
      <alignment horizontal="center" vertical="top"/>
    </xf>
    <xf numFmtId="0" fontId="0" fillId="0" borderId="4" xfId="0" applyBorder="1" applyAlignment="1">
      <alignment horizontal="center" vertical="top" wrapText="1"/>
    </xf>
    <xf numFmtId="0" fontId="0" fillId="0" borderId="19" xfId="0" applyBorder="1" applyAlignment="1">
      <alignment horizontal="center" vertical="top"/>
    </xf>
    <xf numFmtId="0" fontId="0" fillId="0" borderId="26" xfId="0" applyBorder="1" applyAlignment="1">
      <alignment horizontal="center" vertical="top"/>
    </xf>
    <xf numFmtId="0" fontId="0" fillId="0" borderId="4" xfId="0" applyBorder="1" applyAlignment="1">
      <alignment horizontal="left" vertical="top" wrapText="1"/>
    </xf>
    <xf numFmtId="0" fontId="0" fillId="0" borderId="23" xfId="0" applyBorder="1" applyAlignment="1">
      <alignment horizontal="center" vertical="top"/>
    </xf>
    <xf numFmtId="0" fontId="4" fillId="0" borderId="4" xfId="0" applyFont="1" applyBorder="1" applyAlignment="1"/>
    <xf numFmtId="0" fontId="4" fillId="0" borderId="0" xfId="0" applyFont="1" applyAlignment="1"/>
    <xf numFmtId="0" fontId="4" fillId="0" borderId="33" xfId="0" applyFont="1" applyBorder="1" applyAlignment="1"/>
    <xf numFmtId="0" fontId="4" fillId="0" borderId="34" xfId="0" applyFont="1" applyBorder="1" applyAlignment="1"/>
    <xf numFmtId="0" fontId="21" fillId="15" borderId="109" xfId="0" applyFont="1" applyFill="1" applyBorder="1" applyAlignment="1"/>
    <xf numFmtId="0" fontId="21" fillId="15" borderId="110" xfId="0" applyFont="1" applyFill="1" applyBorder="1" applyAlignment="1"/>
    <xf numFmtId="0" fontId="21" fillId="15" borderId="111" xfId="0" applyFont="1" applyFill="1" applyBorder="1" applyAlignment="1"/>
    <xf numFmtId="0" fontId="21" fillId="17" borderId="109" xfId="0" applyFont="1" applyFill="1" applyBorder="1" applyAlignment="1"/>
    <xf numFmtId="0" fontId="21" fillId="17" borderId="110" xfId="0" applyFont="1" applyFill="1" applyBorder="1" applyAlignment="1"/>
    <xf numFmtId="0" fontId="21" fillId="17" borderId="111" xfId="0" applyFont="1" applyFill="1" applyBorder="1" applyAlignment="1"/>
    <xf numFmtId="0" fontId="21" fillId="19" borderId="109" xfId="0" applyFont="1" applyFill="1" applyBorder="1" applyAlignment="1"/>
    <xf numFmtId="0" fontId="21" fillId="19" borderId="110" xfId="0" applyFont="1" applyFill="1" applyBorder="1" applyAlignment="1"/>
    <xf numFmtId="0" fontId="21" fillId="19" borderId="111" xfId="0" applyFont="1" applyFill="1" applyBorder="1" applyAlignment="1"/>
    <xf numFmtId="0" fontId="15" fillId="24" borderId="83" xfId="0" applyFont="1" applyFill="1" applyBorder="1" applyAlignment="1"/>
    <xf numFmtId="0" fontId="15" fillId="24" borderId="8" xfId="0" applyFont="1" applyFill="1" applyBorder="1" applyAlignment="1"/>
    <xf numFmtId="0" fontId="15" fillId="25" borderId="23" xfId="0" applyFont="1" applyFill="1" applyBorder="1" applyAlignment="1"/>
    <xf numFmtId="0" fontId="15" fillId="25" borderId="4" xfId="0" applyFont="1" applyFill="1" applyBorder="1" applyAlignment="1"/>
    <xf numFmtId="0" fontId="15" fillId="23" borderId="4" xfId="0" applyFont="1" applyFill="1" applyBorder="1" applyAlignment="1"/>
    <xf numFmtId="0" fontId="15" fillId="23" borderId="108" xfId="0" applyFont="1" applyFill="1" applyBorder="1" applyAlignment="1"/>
    <xf numFmtId="0" fontId="15" fillId="23" borderId="0" xfId="0" applyFont="1" applyFill="1" applyAlignment="1"/>
    <xf numFmtId="0" fontId="15" fillId="23" borderId="110" xfId="0" applyFont="1" applyFill="1" applyBorder="1" applyAlignment="1"/>
    <xf numFmtId="0" fontId="15" fillId="11" borderId="4" xfId="0" applyFont="1" applyFill="1" applyBorder="1" applyAlignment="1"/>
    <xf numFmtId="0" fontId="15" fillId="11" borderId="108" xfId="0" applyFont="1" applyFill="1" applyBorder="1" applyAlignment="1"/>
    <xf numFmtId="0" fontId="15" fillId="11" borderId="0" xfId="0" applyFont="1" applyFill="1" applyAlignment="1"/>
    <xf numFmtId="0" fontId="15" fillId="11" borderId="23" xfId="0" applyFont="1" applyFill="1" applyBorder="1" applyAlignment="1"/>
    <xf numFmtId="0" fontId="15" fillId="7" borderId="4" xfId="0" applyFont="1" applyFill="1" applyBorder="1" applyAlignment="1"/>
    <xf numFmtId="0" fontId="15" fillId="7" borderId="108" xfId="0" applyFont="1" applyFill="1" applyBorder="1" applyAlignment="1"/>
    <xf numFmtId="0" fontId="15" fillId="7" borderId="0" xfId="0" applyFont="1" applyFill="1" applyAlignment="1"/>
    <xf numFmtId="0" fontId="15" fillId="7" borderId="23" xfId="0" applyFont="1" applyFill="1" applyBorder="1" applyAlignment="1"/>
    <xf numFmtId="0" fontId="15" fillId="7" borderId="22" xfId="0" applyFont="1" applyFill="1" applyBorder="1" applyAlignment="1"/>
    <xf numFmtId="0" fontId="21" fillId="15" borderId="47" xfId="0" applyFont="1" applyFill="1" applyBorder="1" applyAlignment="1"/>
    <xf numFmtId="0" fontId="21" fillId="15" borderId="48" xfId="0" applyFont="1" applyFill="1" applyBorder="1" applyAlignment="1"/>
    <xf numFmtId="0" fontId="21" fillId="17" borderId="47" xfId="0" applyFont="1" applyFill="1" applyBorder="1" applyAlignment="1"/>
    <xf numFmtId="0" fontId="21" fillId="17" borderId="48" xfId="0" applyFont="1" applyFill="1" applyBorder="1" applyAlignment="1"/>
    <xf numFmtId="0" fontId="21" fillId="19" borderId="47" xfId="0" applyFont="1" applyFill="1" applyBorder="1" applyAlignment="1"/>
    <xf numFmtId="0" fontId="21" fillId="19" borderId="48" xfId="0" applyFont="1" applyFill="1" applyBorder="1" applyAlignment="1"/>
    <xf numFmtId="0" fontId="15" fillId="21" borderId="8" xfId="0" applyFont="1" applyFill="1" applyBorder="1" applyAlignment="1"/>
    <xf numFmtId="0" fontId="15" fillId="21" borderId="83" xfId="0" applyFont="1" applyFill="1" applyBorder="1" applyAlignment="1"/>
    <xf numFmtId="0" fontId="15" fillId="21" borderId="12" xfId="0" applyFont="1" applyFill="1" applyBorder="1" applyAlignment="1"/>
    <xf numFmtId="0" fontId="15" fillId="21" borderId="90" xfId="0" applyFont="1" applyFill="1" applyBorder="1" applyAlignment="1"/>
  </cellXfs>
  <cellStyles count="2">
    <cellStyle name="Hyperlink" xfId="1" builtinId="8"/>
    <cellStyle name="Normal" xfId="0" builtinId="0"/>
  </cellStyles>
  <dxfs count="6">
    <dxf>
      <font>
        <color rgb="FFFF0000"/>
      </font>
    </dxf>
    <dxf>
      <font>
        <color theme="9"/>
      </font>
    </dxf>
    <dxf>
      <font>
        <color theme="5"/>
      </font>
    </dxf>
    <dxf>
      <font>
        <color rgb="FFFF0000"/>
      </font>
    </dxf>
    <dxf>
      <font>
        <color theme="9"/>
      </font>
    </dxf>
    <dxf>
      <font>
        <color theme="5"/>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3" Type="http://schemas.openxmlformats.org/officeDocument/2006/relationships/hyperlink" Target="../../../../../../../../:x:/s/SpendCubeV3/EZE1PzMvWI1Ml0uL68K9DHgBq8fIHq_nZi4V2601DMuptQ?e=LrbZbh" TargetMode="External"/><Relationship Id="rId2" Type="http://schemas.openxmlformats.org/officeDocument/2006/relationships/hyperlink" Target="../../../../../../../../:x:/s/SpendCubeV3/EZE1PzMvWI1Ml0uL68K9DHgBq8fIHq_nZi4V2601DMuptQ?e=LrbZbh" TargetMode="External"/><Relationship Id="rId1" Type="http://schemas.openxmlformats.org/officeDocument/2006/relationships/hyperlink" Target="../../../../../../../../:x:/s/SaTGenAIModernization-Americas/Ed8DUiR5tg9JsXXq8EupRb0BWOXskvsGkwMQ0ExJjNQjQg?e=ThUjHi" TargetMode="External"/><Relationship Id="rId5" Type="http://schemas.openxmlformats.org/officeDocument/2006/relationships/hyperlink" Target="../../../../../../../../:x:/s/SaTGenAIModernization-Americas/ESxGvKZU8qxOgE9ZiowhfkABV6iUbCWD0JD_V-C3WddmjA?e=XJ9Xt2" TargetMode="External"/><Relationship Id="rId4" Type="http://schemas.openxmlformats.org/officeDocument/2006/relationships/hyperlink" Target="../../../../../../../../:x:/s/SaTGenAIModernization-Americas/EVWEhg7V3ktBlyfuyljio08B7jBoQUZYEqYDFXZdwKAQLQ?e=U0nfX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DACB4-D5CF-4396-B4E6-FAD1988FDC94}">
  <sheetPr codeName="Sheet2" filterMode="1"/>
  <dimension ref="B1:P79"/>
  <sheetViews>
    <sheetView showGridLines="0" zoomScale="80" zoomScaleNormal="80" workbookViewId="0">
      <pane xSplit="4" ySplit="4" topLeftCell="E36" activePane="bottomRight" state="frozen"/>
      <selection pane="bottomRight" activeCell="D36" sqref="D36:G36"/>
      <selection pane="bottomLeft" activeCell="A5" sqref="A5"/>
      <selection pane="topRight" activeCell="C1" sqref="C1"/>
    </sheetView>
  </sheetViews>
  <sheetFormatPr defaultColWidth="8.85546875" defaultRowHeight="14.45"/>
  <cols>
    <col min="1" max="1" width="3.85546875" style="3" customWidth="1"/>
    <col min="2" max="2" width="21.85546875" style="42" customWidth="1"/>
    <col min="3" max="3" width="27.5703125" style="4" customWidth="1"/>
    <col min="4" max="4" width="25.42578125" style="3" customWidth="1"/>
    <col min="5" max="5" width="29.85546875" style="44" customWidth="1"/>
    <col min="6" max="6" width="38.85546875" style="3" customWidth="1"/>
    <col min="7" max="7" width="59.85546875" style="3" customWidth="1"/>
    <col min="8" max="8" width="26.28515625" style="3" hidden="1" customWidth="1"/>
    <col min="9" max="9" width="28.140625" style="4" customWidth="1"/>
    <col min="10" max="10" width="15.42578125" style="6" hidden="1" customWidth="1"/>
    <col min="11" max="11" width="14.140625" style="7" customWidth="1"/>
    <col min="12" max="12" width="16.85546875" style="4" customWidth="1"/>
    <col min="13" max="13" width="14.140625" style="4" customWidth="1"/>
    <col min="14" max="14" width="18.5703125" style="4" customWidth="1"/>
    <col min="15" max="15" width="18.5703125" style="20" customWidth="1"/>
    <col min="16" max="16" width="35.85546875" style="3" customWidth="1"/>
    <col min="17" max="16384" width="8.85546875" style="3"/>
  </cols>
  <sheetData>
    <row r="1" spans="2:16">
      <c r="G1"/>
      <c r="H1"/>
      <c r="I1" s="64"/>
      <c r="J1"/>
      <c r="K1"/>
      <c r="L1"/>
      <c r="M1"/>
      <c r="N1"/>
      <c r="O1"/>
      <c r="P1"/>
    </row>
    <row r="2" spans="2:16" ht="25.9">
      <c r="B2" s="527" t="s">
        <v>0</v>
      </c>
      <c r="C2" s="527"/>
      <c r="D2" s="527"/>
      <c r="E2" s="527"/>
      <c r="F2" s="527"/>
      <c r="K2" s="3"/>
      <c r="L2" s="3"/>
      <c r="M2" s="3"/>
      <c r="N2" s="3"/>
      <c r="O2" s="17"/>
    </row>
    <row r="3" spans="2:16">
      <c r="H3" s="3" t="s">
        <v>1</v>
      </c>
      <c r="K3" s="4"/>
      <c r="N3" s="3"/>
      <c r="O3" s="17"/>
    </row>
    <row r="4" spans="2:16" s="4" customFormat="1" ht="43.15">
      <c r="B4" s="45" t="s">
        <v>2</v>
      </c>
      <c r="C4" s="2" t="s">
        <v>3</v>
      </c>
      <c r="D4" s="46" t="s">
        <v>4</v>
      </c>
      <c r="E4" s="130" t="s">
        <v>5</v>
      </c>
      <c r="F4" s="51" t="s">
        <v>6</v>
      </c>
      <c r="G4" s="34" t="s">
        <v>7</v>
      </c>
      <c r="H4" s="35" t="s">
        <v>8</v>
      </c>
      <c r="I4" s="34" t="s">
        <v>9</v>
      </c>
      <c r="J4" s="34" t="s">
        <v>10</v>
      </c>
      <c r="K4" s="34" t="s">
        <v>11</v>
      </c>
      <c r="L4" s="34" t="s">
        <v>12</v>
      </c>
      <c r="M4" s="34" t="s">
        <v>13</v>
      </c>
      <c r="N4" s="34" t="s">
        <v>14</v>
      </c>
      <c r="O4" s="34" t="s">
        <v>15</v>
      </c>
      <c r="P4" s="34" t="s">
        <v>16</v>
      </c>
    </row>
    <row r="5" spans="2:16" s="4" customFormat="1" ht="314.25" customHeight="1">
      <c r="B5" s="69" t="s">
        <v>17</v>
      </c>
      <c r="C5" s="70" t="s">
        <v>18</v>
      </c>
      <c r="D5" s="71" t="s">
        <v>19</v>
      </c>
      <c r="E5" s="72" t="s">
        <v>20</v>
      </c>
      <c r="F5" s="76" t="s">
        <v>21</v>
      </c>
      <c r="G5" s="79" t="s">
        <v>22</v>
      </c>
      <c r="H5" s="72"/>
      <c r="I5" s="72" t="s">
        <v>23</v>
      </c>
      <c r="J5" s="72"/>
      <c r="K5" s="72"/>
      <c r="L5" s="72"/>
      <c r="M5" s="72"/>
      <c r="N5" s="72"/>
      <c r="O5" s="143" t="s">
        <v>24</v>
      </c>
      <c r="P5" s="72"/>
    </row>
    <row r="6" spans="2:16" s="4" customFormat="1" ht="171" customHeight="1">
      <c r="B6" s="69" t="s">
        <v>17</v>
      </c>
      <c r="C6" s="70" t="s">
        <v>18</v>
      </c>
      <c r="D6" s="71" t="s">
        <v>25</v>
      </c>
      <c r="E6" s="122" t="s">
        <v>26</v>
      </c>
      <c r="F6" s="74" t="s">
        <v>27</v>
      </c>
      <c r="G6" s="75" t="s">
        <v>28</v>
      </c>
      <c r="H6" s="72"/>
      <c r="I6" s="72" t="s">
        <v>23</v>
      </c>
      <c r="J6" s="72"/>
      <c r="K6" s="72"/>
      <c r="L6" s="72"/>
      <c r="M6" s="72"/>
      <c r="N6" s="72"/>
      <c r="O6" s="143" t="s">
        <v>24</v>
      </c>
      <c r="P6" s="72"/>
    </row>
    <row r="7" spans="2:16" s="4" customFormat="1" ht="167.25" customHeight="1">
      <c r="B7" s="69" t="s">
        <v>17</v>
      </c>
      <c r="C7" s="70" t="s">
        <v>18</v>
      </c>
      <c r="D7" s="71" t="s">
        <v>29</v>
      </c>
      <c r="E7" s="76" t="s">
        <v>30</v>
      </c>
      <c r="F7" s="70" t="s">
        <v>31</v>
      </c>
      <c r="G7" s="73" t="s">
        <v>32</v>
      </c>
      <c r="H7" s="72"/>
      <c r="I7" s="72" t="s">
        <v>23</v>
      </c>
      <c r="J7" s="72"/>
      <c r="K7" s="72"/>
      <c r="L7" s="72"/>
      <c r="M7" s="72"/>
      <c r="N7" s="72"/>
      <c r="O7" s="143" t="s">
        <v>24</v>
      </c>
      <c r="P7" s="72"/>
    </row>
    <row r="8" spans="2:16" s="4" customFormat="1" ht="247.5" customHeight="1">
      <c r="B8" s="69" t="s">
        <v>17</v>
      </c>
      <c r="C8" s="70" t="s">
        <v>18</v>
      </c>
      <c r="D8" s="71" t="s">
        <v>33</v>
      </c>
      <c r="E8" s="76" t="s">
        <v>34</v>
      </c>
      <c r="F8" s="77" t="s">
        <v>35</v>
      </c>
      <c r="G8" s="73" t="s">
        <v>36</v>
      </c>
      <c r="H8" s="72"/>
      <c r="I8" s="72" t="s">
        <v>23</v>
      </c>
      <c r="J8" s="72"/>
      <c r="K8" s="72"/>
      <c r="L8" s="72"/>
      <c r="M8" s="72"/>
      <c r="N8" s="72"/>
      <c r="O8" s="143" t="s">
        <v>24</v>
      </c>
      <c r="P8" s="72"/>
    </row>
    <row r="9" spans="2:16" s="4" customFormat="1" ht="114" customHeight="1">
      <c r="B9" s="69" t="s">
        <v>37</v>
      </c>
      <c r="C9" s="70" t="s">
        <v>18</v>
      </c>
      <c r="D9" s="71" t="s">
        <v>38</v>
      </c>
      <c r="E9" s="71" t="s">
        <v>39</v>
      </c>
      <c r="F9" s="78" t="s">
        <v>40</v>
      </c>
      <c r="G9" s="79" t="s">
        <v>41</v>
      </c>
      <c r="H9" s="72"/>
      <c r="I9" s="72" t="s">
        <v>23</v>
      </c>
      <c r="J9" s="72"/>
      <c r="K9" s="72"/>
      <c r="L9" s="72"/>
      <c r="M9" s="72"/>
      <c r="N9" s="72"/>
      <c r="O9" s="143" t="s">
        <v>24</v>
      </c>
      <c r="P9" s="72"/>
    </row>
    <row r="10" spans="2:16" s="4" customFormat="1" ht="409.6">
      <c r="B10" s="69" t="s">
        <v>37</v>
      </c>
      <c r="C10" s="70" t="s">
        <v>18</v>
      </c>
      <c r="D10" s="71" t="s">
        <v>42</v>
      </c>
      <c r="E10" s="80" t="s">
        <v>43</v>
      </c>
      <c r="F10" s="81" t="s">
        <v>44</v>
      </c>
      <c r="G10" s="82" t="s">
        <v>45</v>
      </c>
      <c r="H10" s="72"/>
      <c r="I10" s="72" t="s">
        <v>23</v>
      </c>
      <c r="J10" s="72"/>
      <c r="K10" s="72"/>
      <c r="L10" s="72"/>
      <c r="M10" s="72"/>
      <c r="N10" s="72"/>
      <c r="O10" s="143" t="s">
        <v>24</v>
      </c>
      <c r="P10" s="72"/>
    </row>
    <row r="11" spans="2:16" s="4" customFormat="1" ht="144">
      <c r="B11" s="69" t="s">
        <v>37</v>
      </c>
      <c r="C11" s="70" t="s">
        <v>18</v>
      </c>
      <c r="D11" s="83" t="s">
        <v>46</v>
      </c>
      <c r="E11" s="84" t="s">
        <v>47</v>
      </c>
      <c r="F11" s="85" t="s">
        <v>48</v>
      </c>
      <c r="G11" s="86" t="s">
        <v>49</v>
      </c>
      <c r="H11" s="72"/>
      <c r="I11" s="72" t="s">
        <v>23</v>
      </c>
      <c r="J11" s="72"/>
      <c r="K11" s="72"/>
      <c r="L11" s="72"/>
      <c r="M11" s="72"/>
      <c r="N11" s="72"/>
      <c r="O11" s="143" t="s">
        <v>24</v>
      </c>
      <c r="P11" s="72"/>
    </row>
    <row r="12" spans="2:16" s="4" customFormat="1" ht="403.15">
      <c r="B12" s="69" t="s">
        <v>50</v>
      </c>
      <c r="C12" s="119" t="s">
        <v>18</v>
      </c>
      <c r="D12" s="94" t="s">
        <v>51</v>
      </c>
      <c r="E12" s="72" t="s">
        <v>52</v>
      </c>
      <c r="F12" s="87" t="s">
        <v>53</v>
      </c>
      <c r="G12" s="88" t="s">
        <v>54</v>
      </c>
      <c r="H12" s="70"/>
      <c r="I12" s="72" t="s">
        <v>23</v>
      </c>
      <c r="J12" s="72"/>
      <c r="K12" s="72"/>
      <c r="L12" s="72"/>
      <c r="M12" s="72"/>
      <c r="N12" s="72"/>
      <c r="O12" s="143" t="s">
        <v>24</v>
      </c>
      <c r="P12" s="72"/>
    </row>
    <row r="13" spans="2:16" s="4" customFormat="1" ht="43.15">
      <c r="B13" s="120" t="s">
        <v>55</v>
      </c>
      <c r="C13" s="72" t="s">
        <v>18</v>
      </c>
      <c r="D13" s="72" t="s">
        <v>56</v>
      </c>
      <c r="E13" s="96" t="s">
        <v>57</v>
      </c>
      <c r="F13" s="92" t="s">
        <v>56</v>
      </c>
      <c r="G13" s="93" t="s">
        <v>58</v>
      </c>
      <c r="H13" s="94"/>
      <c r="I13" s="94" t="s">
        <v>23</v>
      </c>
      <c r="J13" s="94"/>
      <c r="K13" s="94"/>
      <c r="L13" s="94"/>
      <c r="M13" s="94"/>
      <c r="N13" s="94"/>
      <c r="O13" s="143" t="s">
        <v>24</v>
      </c>
      <c r="P13" s="94"/>
    </row>
    <row r="14" spans="2:16" s="4" customFormat="1" ht="191.25" customHeight="1">
      <c r="B14" s="120" t="s">
        <v>59</v>
      </c>
      <c r="C14" s="72" t="s">
        <v>18</v>
      </c>
      <c r="D14" s="72" t="s">
        <v>60</v>
      </c>
      <c r="E14" s="90" t="s">
        <v>61</v>
      </c>
      <c r="F14" s="78" t="s">
        <v>62</v>
      </c>
      <c r="G14" s="73" t="s">
        <v>63</v>
      </c>
      <c r="H14" s="72"/>
      <c r="I14" s="72" t="s">
        <v>23</v>
      </c>
      <c r="J14" s="90"/>
      <c r="K14" s="94"/>
      <c r="L14" s="94"/>
      <c r="M14" s="94"/>
      <c r="N14" s="94"/>
      <c r="O14" s="143" t="s">
        <v>24</v>
      </c>
      <c r="P14" s="94"/>
    </row>
    <row r="15" spans="2:16" s="4" customFormat="1" ht="101.25" customHeight="1">
      <c r="B15" s="120" t="s">
        <v>59</v>
      </c>
      <c r="C15" s="72" t="s">
        <v>18</v>
      </c>
      <c r="D15" s="121" t="s">
        <v>64</v>
      </c>
      <c r="E15" s="76" t="s">
        <v>65</v>
      </c>
      <c r="F15" s="142" t="s">
        <v>66</v>
      </c>
      <c r="G15" s="79" t="s">
        <v>67</v>
      </c>
      <c r="H15" s="72"/>
      <c r="I15" s="72" t="s">
        <v>23</v>
      </c>
      <c r="J15" s="90"/>
      <c r="K15" s="94"/>
      <c r="L15" s="94"/>
      <c r="M15" s="94"/>
      <c r="N15" s="94"/>
      <c r="O15" s="143" t="s">
        <v>24</v>
      </c>
      <c r="P15" s="94"/>
    </row>
    <row r="16" spans="2:16" s="4" customFormat="1" ht="158.44999999999999">
      <c r="B16" s="120" t="s">
        <v>59</v>
      </c>
      <c r="C16" s="72" t="s">
        <v>18</v>
      </c>
      <c r="D16" s="71" t="s">
        <v>68</v>
      </c>
      <c r="E16" s="84" t="s">
        <v>69</v>
      </c>
      <c r="F16" s="98" t="s">
        <v>70</v>
      </c>
      <c r="G16" s="124" t="s">
        <v>71</v>
      </c>
      <c r="H16" s="72"/>
      <c r="I16" s="72" t="s">
        <v>23</v>
      </c>
      <c r="J16" s="90"/>
      <c r="K16" s="94"/>
      <c r="L16" s="94"/>
      <c r="M16" s="94"/>
      <c r="N16" s="94"/>
      <c r="O16" s="143" t="s">
        <v>24</v>
      </c>
      <c r="P16" s="94"/>
    </row>
    <row r="17" spans="2:16" s="4" customFormat="1" ht="216" customHeight="1">
      <c r="B17" s="120" t="s">
        <v>59</v>
      </c>
      <c r="C17" s="72" t="s">
        <v>18</v>
      </c>
      <c r="D17" s="71" t="s">
        <v>72</v>
      </c>
      <c r="E17" s="135" t="s">
        <v>73</v>
      </c>
      <c r="F17" s="73" t="s">
        <v>74</v>
      </c>
      <c r="G17" s="79" t="s">
        <v>75</v>
      </c>
      <c r="H17" s="72"/>
      <c r="I17" s="72" t="s">
        <v>23</v>
      </c>
      <c r="J17" s="90"/>
      <c r="K17" s="94"/>
      <c r="L17" s="94"/>
      <c r="M17" s="94"/>
      <c r="N17" s="94"/>
      <c r="O17" s="143" t="s">
        <v>24</v>
      </c>
      <c r="P17" s="94"/>
    </row>
    <row r="18" spans="2:16" s="4" customFormat="1" ht="171" customHeight="1">
      <c r="B18" s="120" t="s">
        <v>59</v>
      </c>
      <c r="C18" s="72" t="s">
        <v>18</v>
      </c>
      <c r="D18" s="71" t="s">
        <v>76</v>
      </c>
      <c r="E18" s="135" t="s">
        <v>77</v>
      </c>
      <c r="F18" s="133" t="s">
        <v>78</v>
      </c>
      <c r="G18" s="126" t="s">
        <v>79</v>
      </c>
      <c r="H18" s="122"/>
      <c r="I18" s="122" t="s">
        <v>23</v>
      </c>
      <c r="J18" s="90"/>
      <c r="K18" s="94"/>
      <c r="L18" s="94"/>
      <c r="M18" s="94"/>
      <c r="N18" s="94"/>
      <c r="O18" s="143" t="s">
        <v>24</v>
      </c>
      <c r="P18" s="94"/>
    </row>
    <row r="19" spans="2:16" s="4" customFormat="1" ht="142.5" customHeight="1">
      <c r="B19" s="120" t="s">
        <v>59</v>
      </c>
      <c r="C19" s="72" t="s">
        <v>18</v>
      </c>
      <c r="D19" s="121" t="s">
        <v>80</v>
      </c>
      <c r="E19" s="84" t="s">
        <v>81</v>
      </c>
      <c r="F19" s="123" t="s">
        <v>82</v>
      </c>
      <c r="G19" s="125" t="s">
        <v>83</v>
      </c>
      <c r="H19" s="122"/>
      <c r="I19" s="122" t="s">
        <v>23</v>
      </c>
      <c r="J19" s="90"/>
      <c r="K19" s="94"/>
      <c r="L19" s="94"/>
      <c r="M19" s="94"/>
      <c r="N19" s="94"/>
      <c r="O19" s="143" t="s">
        <v>24</v>
      </c>
      <c r="P19" s="94"/>
    </row>
    <row r="20" spans="2:16" s="4" customFormat="1" ht="132.75" customHeight="1">
      <c r="B20" s="120" t="s">
        <v>59</v>
      </c>
      <c r="C20" s="94" t="s">
        <v>18</v>
      </c>
      <c r="D20" s="91" t="s">
        <v>84</v>
      </c>
      <c r="E20" s="84" t="s">
        <v>85</v>
      </c>
      <c r="F20" s="168" t="s">
        <v>86</v>
      </c>
      <c r="G20" s="167" t="s">
        <v>87</v>
      </c>
      <c r="H20" s="122"/>
      <c r="I20" s="122" t="s">
        <v>23</v>
      </c>
      <c r="J20" s="90"/>
      <c r="K20" s="94"/>
      <c r="L20" s="94"/>
      <c r="M20" s="94"/>
      <c r="N20" s="94"/>
      <c r="O20" s="143" t="s">
        <v>24</v>
      </c>
      <c r="P20" s="94"/>
    </row>
    <row r="21" spans="2:16" s="4" customFormat="1" ht="123.75" customHeight="1">
      <c r="B21" s="166" t="s">
        <v>88</v>
      </c>
      <c r="C21" s="72" t="s">
        <v>89</v>
      </c>
      <c r="D21" s="72" t="s">
        <v>90</v>
      </c>
      <c r="E21" s="95" t="s">
        <v>91</v>
      </c>
      <c r="F21" s="123" t="s">
        <v>92</v>
      </c>
      <c r="G21" s="73" t="s">
        <v>93</v>
      </c>
      <c r="H21" s="125"/>
      <c r="I21" s="122" t="s">
        <v>23</v>
      </c>
      <c r="J21" s="72"/>
      <c r="K21" s="72"/>
      <c r="L21" s="72"/>
      <c r="M21" s="72"/>
      <c r="N21" s="72"/>
      <c r="O21" s="143" t="s">
        <v>24</v>
      </c>
      <c r="P21" s="72"/>
    </row>
    <row r="22" spans="2:16" s="4" customFormat="1" ht="100.9">
      <c r="B22" s="103" t="s">
        <v>88</v>
      </c>
      <c r="C22" s="104" t="s">
        <v>94</v>
      </c>
      <c r="D22" s="105" t="s">
        <v>95</v>
      </c>
      <c r="E22" s="136" t="s">
        <v>96</v>
      </c>
      <c r="F22" s="153" t="s">
        <v>97</v>
      </c>
      <c r="G22" s="139" t="s">
        <v>98</v>
      </c>
      <c r="H22" s="107"/>
      <c r="I22" s="108" t="s">
        <v>23</v>
      </c>
      <c r="J22" s="109"/>
      <c r="K22" s="110">
        <v>45737</v>
      </c>
      <c r="L22" s="110" t="s">
        <v>99</v>
      </c>
      <c r="M22" s="111" t="s">
        <v>100</v>
      </c>
      <c r="N22" s="110" t="s">
        <v>101</v>
      </c>
      <c r="O22" s="112">
        <v>1</v>
      </c>
      <c r="P22" s="113"/>
    </row>
    <row r="23" spans="2:16" s="4" customFormat="1" ht="408" customHeight="1">
      <c r="B23" s="69" t="s">
        <v>88</v>
      </c>
      <c r="C23" s="72" t="s">
        <v>89</v>
      </c>
      <c r="D23" s="131" t="s">
        <v>102</v>
      </c>
      <c r="E23" s="80" t="s">
        <v>103</v>
      </c>
      <c r="F23" s="97" t="s">
        <v>104</v>
      </c>
      <c r="G23" s="140" t="s">
        <v>105</v>
      </c>
      <c r="H23" s="132"/>
      <c r="I23" s="100" t="s">
        <v>23</v>
      </c>
      <c r="J23" s="99"/>
      <c r="K23" s="101"/>
      <c r="L23" s="101"/>
      <c r="M23" s="72"/>
      <c r="N23" s="101"/>
      <c r="O23" s="69" t="s">
        <v>24</v>
      </c>
      <c r="P23" s="102"/>
    </row>
    <row r="24" spans="2:16" s="4" customFormat="1" ht="141.75" customHeight="1">
      <c r="B24" s="69" t="s">
        <v>88</v>
      </c>
      <c r="C24" s="72" t="s">
        <v>89</v>
      </c>
      <c r="D24" s="76" t="s">
        <v>106</v>
      </c>
      <c r="E24" s="137" t="s">
        <v>107</v>
      </c>
      <c r="F24" s="97" t="s">
        <v>108</v>
      </c>
      <c r="G24" s="141" t="s">
        <v>109</v>
      </c>
      <c r="H24" s="99"/>
      <c r="I24" s="144" t="s">
        <v>23</v>
      </c>
      <c r="J24" s="145"/>
      <c r="K24" s="146"/>
      <c r="L24" s="146"/>
      <c r="M24" s="122"/>
      <c r="N24" s="146"/>
      <c r="O24" s="147" t="s">
        <v>24</v>
      </c>
      <c r="P24" s="148"/>
    </row>
    <row r="25" spans="2:16" s="4" customFormat="1" ht="265.5" customHeight="1">
      <c r="B25" s="89" t="s">
        <v>88</v>
      </c>
      <c r="C25" s="94" t="s">
        <v>89</v>
      </c>
      <c r="D25" s="114" t="s">
        <v>110</v>
      </c>
      <c r="E25" s="83" t="s">
        <v>111</v>
      </c>
      <c r="F25" s="123" t="s">
        <v>112</v>
      </c>
      <c r="G25" s="128" t="s">
        <v>113</v>
      </c>
      <c r="H25" s="116"/>
      <c r="I25" s="94" t="s">
        <v>23</v>
      </c>
      <c r="J25" s="116"/>
      <c r="K25" s="118"/>
      <c r="L25" s="118"/>
      <c r="M25" s="94"/>
      <c r="N25" s="118"/>
      <c r="O25" s="143" t="s">
        <v>24</v>
      </c>
      <c r="P25" s="87"/>
    </row>
    <row r="26" spans="2:16" s="4" customFormat="1" ht="122.25" customHeight="1">
      <c r="B26" s="69" t="s">
        <v>88</v>
      </c>
      <c r="C26" s="72" t="s">
        <v>89</v>
      </c>
      <c r="D26" s="76" t="s">
        <v>114</v>
      </c>
      <c r="E26" s="127" t="s">
        <v>115</v>
      </c>
      <c r="F26" s="123" t="s">
        <v>116</v>
      </c>
      <c r="G26" s="129" t="s">
        <v>117</v>
      </c>
      <c r="H26" s="99"/>
      <c r="I26" s="72" t="s">
        <v>23</v>
      </c>
      <c r="J26" s="99"/>
      <c r="K26" s="101"/>
      <c r="L26" s="101"/>
      <c r="M26" s="72"/>
      <c r="N26" s="101"/>
      <c r="O26" s="143" t="s">
        <v>24</v>
      </c>
      <c r="P26" s="102"/>
    </row>
    <row r="27" spans="2:16" s="4" customFormat="1" ht="158.44999999999999">
      <c r="B27" s="154" t="s">
        <v>88</v>
      </c>
      <c r="C27" s="104" t="s">
        <v>118</v>
      </c>
      <c r="D27" s="105" t="s">
        <v>119</v>
      </c>
      <c r="E27" s="136" t="s">
        <v>120</v>
      </c>
      <c r="F27" s="149" t="s">
        <v>121</v>
      </c>
      <c r="G27" s="106" t="s">
        <v>122</v>
      </c>
      <c r="H27" s="107"/>
      <c r="I27" s="108" t="s">
        <v>23</v>
      </c>
      <c r="J27" s="109"/>
      <c r="K27" s="150">
        <v>45957</v>
      </c>
      <c r="L27" s="151" t="s">
        <v>123</v>
      </c>
      <c r="M27" s="151" t="s">
        <v>124</v>
      </c>
      <c r="N27" s="151" t="s">
        <v>125</v>
      </c>
      <c r="O27" s="152" t="s">
        <v>24</v>
      </c>
      <c r="P27" s="113"/>
    </row>
    <row r="28" spans="2:16" s="4" customFormat="1" ht="258.75" hidden="1" customHeight="1">
      <c r="B28" s="69" t="s">
        <v>126</v>
      </c>
      <c r="C28" s="83" t="s">
        <v>89</v>
      </c>
      <c r="D28" s="80" t="s">
        <v>127</v>
      </c>
      <c r="E28" s="155" t="s">
        <v>128</v>
      </c>
      <c r="F28" s="156" t="s">
        <v>129</v>
      </c>
      <c r="G28" s="158" t="s">
        <v>130</v>
      </c>
      <c r="H28" s="116"/>
      <c r="I28" s="117" t="s">
        <v>23</v>
      </c>
      <c r="J28" s="116"/>
      <c r="K28" s="118"/>
      <c r="L28" s="94"/>
      <c r="M28" s="94"/>
      <c r="N28" s="94"/>
      <c r="O28" s="157" t="s">
        <v>24</v>
      </c>
      <c r="P28" s="87"/>
    </row>
    <row r="29" spans="2:16" s="4" customFormat="1" ht="258.75" hidden="1" customHeight="1">
      <c r="B29" s="89" t="s">
        <v>126</v>
      </c>
      <c r="C29" s="83" t="s">
        <v>89</v>
      </c>
      <c r="D29" s="161" t="s">
        <v>131</v>
      </c>
      <c r="E29" s="160" t="s">
        <v>132</v>
      </c>
      <c r="F29" s="162" t="s">
        <v>133</v>
      </c>
      <c r="G29" s="158" t="s">
        <v>134</v>
      </c>
      <c r="H29" s="116"/>
      <c r="I29" s="117" t="s">
        <v>23</v>
      </c>
      <c r="J29" s="116"/>
      <c r="K29" s="118"/>
      <c r="L29" s="94"/>
      <c r="M29" s="94"/>
      <c r="N29" s="94"/>
      <c r="O29" s="157" t="s">
        <v>24</v>
      </c>
      <c r="P29" s="87"/>
    </row>
    <row r="30" spans="2:16" s="4" customFormat="1" ht="258.75" hidden="1" customHeight="1">
      <c r="B30" s="69" t="s">
        <v>126</v>
      </c>
      <c r="C30" s="94" t="s">
        <v>89</v>
      </c>
      <c r="D30" s="160" t="s">
        <v>131</v>
      </c>
      <c r="E30" s="160" t="s">
        <v>135</v>
      </c>
      <c r="F30" s="162" t="s">
        <v>133</v>
      </c>
      <c r="G30" s="115" t="s">
        <v>136</v>
      </c>
      <c r="H30" s="116"/>
      <c r="I30" s="117" t="s">
        <v>23</v>
      </c>
      <c r="J30" s="116"/>
      <c r="K30" s="118"/>
      <c r="L30" s="94"/>
      <c r="M30" s="94"/>
      <c r="N30" s="94"/>
      <c r="O30" s="157" t="s">
        <v>24</v>
      </c>
      <c r="P30" s="87"/>
    </row>
    <row r="31" spans="2:16" s="4" customFormat="1" ht="258.75" hidden="1" customHeight="1">
      <c r="B31" s="89" t="s">
        <v>126</v>
      </c>
      <c r="C31" s="94" t="s">
        <v>89</v>
      </c>
      <c r="D31" s="83" t="s">
        <v>137</v>
      </c>
      <c r="E31" s="160" t="s">
        <v>138</v>
      </c>
      <c r="F31" s="162" t="s">
        <v>139</v>
      </c>
      <c r="G31" s="115" t="s">
        <v>140</v>
      </c>
      <c r="H31" s="163"/>
      <c r="I31" s="117" t="s">
        <v>23</v>
      </c>
      <c r="J31" s="116"/>
      <c r="K31" s="118"/>
      <c r="L31" s="94"/>
      <c r="M31" s="94"/>
      <c r="N31" s="94"/>
      <c r="O31" s="157" t="s">
        <v>24</v>
      </c>
      <c r="P31" s="87"/>
    </row>
    <row r="32" spans="2:16" s="4" customFormat="1" ht="406.5" hidden="1" customHeight="1">
      <c r="B32" s="69" t="s">
        <v>126</v>
      </c>
      <c r="C32" s="72" t="s">
        <v>89</v>
      </c>
      <c r="D32" s="72" t="s">
        <v>141</v>
      </c>
      <c r="E32" s="165" t="s">
        <v>142</v>
      </c>
      <c r="F32" s="164" t="s">
        <v>143</v>
      </c>
      <c r="G32" s="159" t="s">
        <v>144</v>
      </c>
      <c r="H32" s="99"/>
      <c r="I32" s="100" t="s">
        <v>23</v>
      </c>
      <c r="J32" s="99"/>
      <c r="K32" s="101"/>
      <c r="L32" s="72"/>
      <c r="M32" s="72"/>
      <c r="N32" s="72"/>
      <c r="O32" s="157" t="s">
        <v>24</v>
      </c>
      <c r="P32" s="102"/>
    </row>
    <row r="33" spans="2:16" s="4" customFormat="1" ht="72" hidden="1">
      <c r="B33" s="68"/>
      <c r="C33" s="62" t="s">
        <v>94</v>
      </c>
      <c r="D33" s="47" t="s">
        <v>145</v>
      </c>
      <c r="E33" s="138" t="s">
        <v>146</v>
      </c>
      <c r="F33" s="153" t="s">
        <v>147</v>
      </c>
      <c r="G33" s="52" t="s">
        <v>148</v>
      </c>
      <c r="H33" s="36"/>
      <c r="I33" s="65" t="s">
        <v>23</v>
      </c>
      <c r="J33" s="37"/>
      <c r="K33" s="38">
        <v>45775</v>
      </c>
      <c r="L33" s="38" t="s">
        <v>149</v>
      </c>
      <c r="M33" s="39" t="s">
        <v>100</v>
      </c>
      <c r="N33" s="38" t="s">
        <v>101</v>
      </c>
      <c r="O33" s="40">
        <v>1</v>
      </c>
      <c r="P33" s="41"/>
    </row>
    <row r="34" spans="2:16" s="4" customFormat="1" ht="72" hidden="1">
      <c r="B34" s="60"/>
      <c r="C34" s="63" t="s">
        <v>94</v>
      </c>
      <c r="D34" s="48" t="s">
        <v>150</v>
      </c>
      <c r="E34" s="67" t="s">
        <v>151</v>
      </c>
      <c r="F34" s="134" t="s">
        <v>152</v>
      </c>
      <c r="G34" s="53" t="s">
        <v>153</v>
      </c>
      <c r="H34" s="9"/>
      <c r="I34" s="66" t="s">
        <v>23</v>
      </c>
      <c r="J34" s="8"/>
      <c r="K34" s="26">
        <v>45775</v>
      </c>
      <c r="L34" s="26" t="s">
        <v>149</v>
      </c>
      <c r="M34" s="28" t="s">
        <v>100</v>
      </c>
      <c r="N34" s="26" t="s">
        <v>101</v>
      </c>
      <c r="O34" s="29">
        <v>1</v>
      </c>
      <c r="P34" s="30"/>
    </row>
    <row r="35" spans="2:16" s="4" customFormat="1" ht="129.6" hidden="1">
      <c r="B35" s="60"/>
      <c r="C35" s="63" t="s">
        <v>94</v>
      </c>
      <c r="D35" s="48" t="s">
        <v>154</v>
      </c>
      <c r="E35" s="44" t="s">
        <v>155</v>
      </c>
      <c r="F35" s="52" t="s">
        <v>156</v>
      </c>
      <c r="G35" s="25" t="s">
        <v>157</v>
      </c>
      <c r="H35" s="9"/>
      <c r="I35" s="66" t="s">
        <v>23</v>
      </c>
      <c r="J35" s="8"/>
      <c r="K35" s="26">
        <v>45737</v>
      </c>
      <c r="L35" s="26" t="s">
        <v>99</v>
      </c>
      <c r="M35" s="28" t="s">
        <v>100</v>
      </c>
      <c r="N35" s="26" t="s">
        <v>101</v>
      </c>
      <c r="O35" s="29">
        <v>1</v>
      </c>
      <c r="P35" s="30" t="s">
        <v>158</v>
      </c>
    </row>
    <row r="36" spans="2:16" s="4" customFormat="1" ht="102.95" customHeight="1">
      <c r="B36" s="169"/>
      <c r="C36" s="170" t="s">
        <v>118</v>
      </c>
      <c r="D36" s="171" t="s">
        <v>159</v>
      </c>
      <c r="E36" s="172" t="s">
        <v>160</v>
      </c>
      <c r="F36" s="173" t="s">
        <v>161</v>
      </c>
      <c r="G36" s="174" t="s">
        <v>162</v>
      </c>
      <c r="H36" s="175"/>
      <c r="I36" s="176" t="s">
        <v>23</v>
      </c>
      <c r="J36" s="175"/>
      <c r="K36" s="177">
        <v>45957</v>
      </c>
      <c r="L36" s="178" t="s">
        <v>123</v>
      </c>
      <c r="M36" s="178" t="s">
        <v>124</v>
      </c>
      <c r="N36" s="178" t="s">
        <v>125</v>
      </c>
      <c r="O36" s="175" t="s">
        <v>24</v>
      </c>
      <c r="P36" s="179"/>
    </row>
    <row r="37" spans="2:16" s="4" customFormat="1" ht="86.45" hidden="1">
      <c r="B37" s="60"/>
      <c r="C37" s="63" t="s">
        <v>94</v>
      </c>
      <c r="D37" s="48" t="s">
        <v>163</v>
      </c>
      <c r="E37" s="44" t="s">
        <v>164</v>
      </c>
      <c r="F37" s="53" t="s">
        <v>165</v>
      </c>
      <c r="G37" s="25" t="s">
        <v>166</v>
      </c>
      <c r="H37" s="9"/>
      <c r="I37" s="66" t="s">
        <v>23</v>
      </c>
      <c r="J37" s="8"/>
      <c r="K37" s="26">
        <v>45737</v>
      </c>
      <c r="L37" s="26" t="s">
        <v>99</v>
      </c>
      <c r="M37" s="28" t="s">
        <v>100</v>
      </c>
      <c r="N37" s="26" t="s">
        <v>101</v>
      </c>
      <c r="O37" s="29">
        <v>1</v>
      </c>
      <c r="P37" s="30" t="s">
        <v>167</v>
      </c>
    </row>
    <row r="38" spans="2:16" s="4" customFormat="1" ht="86.45" hidden="1">
      <c r="B38" s="60"/>
      <c r="C38" s="63" t="s">
        <v>94</v>
      </c>
      <c r="D38" s="48" t="s">
        <v>168</v>
      </c>
      <c r="E38" s="44" t="s">
        <v>169</v>
      </c>
      <c r="F38" s="55" t="s">
        <v>170</v>
      </c>
      <c r="G38" s="24" t="s">
        <v>171</v>
      </c>
      <c r="H38" s="9"/>
      <c r="I38" s="66" t="s">
        <v>23</v>
      </c>
      <c r="J38" s="8"/>
      <c r="K38" s="26">
        <v>45737</v>
      </c>
      <c r="L38" s="26" t="s">
        <v>99</v>
      </c>
      <c r="M38" s="28" t="s">
        <v>100</v>
      </c>
      <c r="N38" s="26" t="s">
        <v>101</v>
      </c>
      <c r="O38" s="29">
        <v>1</v>
      </c>
      <c r="P38" s="30"/>
    </row>
    <row r="39" spans="2:16" s="4" customFormat="1" ht="86.45" hidden="1">
      <c r="B39" s="60"/>
      <c r="C39" s="63" t="s">
        <v>94</v>
      </c>
      <c r="D39" s="48" t="s">
        <v>172</v>
      </c>
      <c r="E39" s="44" t="s">
        <v>173</v>
      </c>
      <c r="F39" s="55" t="s">
        <v>174</v>
      </c>
      <c r="G39" s="24" t="s">
        <v>175</v>
      </c>
      <c r="H39" s="9"/>
      <c r="I39" s="66" t="s">
        <v>23</v>
      </c>
      <c r="J39" s="8"/>
      <c r="K39" s="26">
        <v>45737</v>
      </c>
      <c r="L39" s="26" t="s">
        <v>99</v>
      </c>
      <c r="M39" s="28" t="s">
        <v>100</v>
      </c>
      <c r="N39" s="26" t="s">
        <v>101</v>
      </c>
      <c r="O39" s="29">
        <v>1</v>
      </c>
      <c r="P39" s="30"/>
    </row>
    <row r="40" spans="2:16" s="4" customFormat="1" ht="72" hidden="1">
      <c r="B40" s="60"/>
      <c r="C40" s="63" t="s">
        <v>94</v>
      </c>
      <c r="D40" s="48" t="s">
        <v>176</v>
      </c>
      <c r="E40" s="44" t="s">
        <v>177</v>
      </c>
      <c r="F40" s="55" t="s">
        <v>178</v>
      </c>
      <c r="G40" s="24" t="s">
        <v>179</v>
      </c>
      <c r="H40" s="9"/>
      <c r="I40" s="66" t="s">
        <v>23</v>
      </c>
      <c r="J40" s="8"/>
      <c r="K40" s="26">
        <v>45762</v>
      </c>
      <c r="L40" s="26" t="s">
        <v>180</v>
      </c>
      <c r="M40" s="28" t="s">
        <v>100</v>
      </c>
      <c r="N40" s="26" t="s">
        <v>101</v>
      </c>
      <c r="O40" s="29">
        <v>1</v>
      </c>
      <c r="P40" s="30" t="s">
        <v>181</v>
      </c>
    </row>
    <row r="41" spans="2:16" s="4" customFormat="1" ht="115.15" hidden="1">
      <c r="B41" s="60"/>
      <c r="C41" s="63" t="s">
        <v>94</v>
      </c>
      <c r="D41" s="48" t="s">
        <v>182</v>
      </c>
      <c r="E41" s="44" t="s">
        <v>183</v>
      </c>
      <c r="F41" s="55" t="s">
        <v>184</v>
      </c>
      <c r="G41" s="24" t="s">
        <v>185</v>
      </c>
      <c r="H41" s="9"/>
      <c r="I41" s="66" t="s">
        <v>23</v>
      </c>
      <c r="J41" s="8"/>
      <c r="K41" s="26">
        <v>45751</v>
      </c>
      <c r="L41" s="26" t="s">
        <v>99</v>
      </c>
      <c r="M41" s="28" t="s">
        <v>100</v>
      </c>
      <c r="N41" s="26" t="s">
        <v>101</v>
      </c>
      <c r="O41" s="29">
        <v>1</v>
      </c>
      <c r="P41" s="30" t="s">
        <v>186</v>
      </c>
    </row>
    <row r="42" spans="2:16" s="4" customFormat="1" ht="72" hidden="1">
      <c r="B42" s="60"/>
      <c r="C42" s="63" t="s">
        <v>94</v>
      </c>
      <c r="D42" s="48" t="s">
        <v>187</v>
      </c>
      <c r="E42" s="44" t="s">
        <v>188</v>
      </c>
      <c r="F42" s="55" t="s">
        <v>189</v>
      </c>
      <c r="G42" s="24" t="s">
        <v>190</v>
      </c>
      <c r="H42" s="9"/>
      <c r="I42" s="66" t="s">
        <v>23</v>
      </c>
      <c r="J42" s="8"/>
      <c r="K42" s="26">
        <v>45751</v>
      </c>
      <c r="L42" s="26" t="s">
        <v>99</v>
      </c>
      <c r="M42" s="28" t="s">
        <v>100</v>
      </c>
      <c r="N42" s="26" t="s">
        <v>101</v>
      </c>
      <c r="O42" s="29">
        <v>1</v>
      </c>
      <c r="P42" s="30" t="s">
        <v>191</v>
      </c>
    </row>
    <row r="43" spans="2:16" s="4" customFormat="1" ht="72" hidden="1">
      <c r="B43" s="60"/>
      <c r="C43" s="63" t="s">
        <v>94</v>
      </c>
      <c r="D43" s="48" t="s">
        <v>192</v>
      </c>
      <c r="E43" s="44" t="s">
        <v>193</v>
      </c>
      <c r="F43" s="55" t="s">
        <v>194</v>
      </c>
      <c r="G43" s="24" t="s">
        <v>195</v>
      </c>
      <c r="H43" s="9"/>
      <c r="I43" s="66" t="s">
        <v>23</v>
      </c>
      <c r="J43" s="8"/>
      <c r="K43" s="26">
        <v>45758</v>
      </c>
      <c r="L43" s="26" t="s">
        <v>99</v>
      </c>
      <c r="M43" s="28" t="s">
        <v>100</v>
      </c>
      <c r="N43" s="26" t="s">
        <v>101</v>
      </c>
      <c r="O43" s="29">
        <v>1</v>
      </c>
      <c r="P43" s="30" t="s">
        <v>196</v>
      </c>
    </row>
    <row r="44" spans="2:16" s="4" customFormat="1" ht="158.44999999999999" hidden="1">
      <c r="B44" s="60"/>
      <c r="C44" s="63" t="s">
        <v>94</v>
      </c>
      <c r="D44" s="48" t="s">
        <v>197</v>
      </c>
      <c r="E44" s="44" t="s">
        <v>198</v>
      </c>
      <c r="F44" s="55" t="s">
        <v>199</v>
      </c>
      <c r="G44" s="24" t="s">
        <v>200</v>
      </c>
      <c r="H44" s="9"/>
      <c r="I44" s="66" t="s">
        <v>23</v>
      </c>
      <c r="J44" s="8"/>
      <c r="K44" s="26">
        <v>45751</v>
      </c>
      <c r="L44" s="26" t="s">
        <v>99</v>
      </c>
      <c r="M44" s="28" t="s">
        <v>100</v>
      </c>
      <c r="N44" s="26" t="s">
        <v>101</v>
      </c>
      <c r="O44" s="29">
        <v>1</v>
      </c>
      <c r="P44" s="30" t="s">
        <v>201</v>
      </c>
    </row>
    <row r="45" spans="2:16" s="4" customFormat="1" ht="72" hidden="1">
      <c r="B45" s="60"/>
      <c r="C45" s="63" t="s">
        <v>94</v>
      </c>
      <c r="D45" s="48" t="s">
        <v>202</v>
      </c>
      <c r="E45" s="44" t="s">
        <v>203</v>
      </c>
      <c r="F45" s="55" t="s">
        <v>204</v>
      </c>
      <c r="G45" s="24" t="s">
        <v>205</v>
      </c>
      <c r="H45" s="9"/>
      <c r="I45" s="66" t="s">
        <v>23</v>
      </c>
      <c r="J45" s="8"/>
      <c r="K45" s="26">
        <v>45758</v>
      </c>
      <c r="L45" s="26" t="s">
        <v>99</v>
      </c>
      <c r="M45" s="28" t="s">
        <v>100</v>
      </c>
      <c r="N45" s="26" t="s">
        <v>101</v>
      </c>
      <c r="O45" s="29">
        <v>1</v>
      </c>
      <c r="P45" s="30" t="s">
        <v>206</v>
      </c>
    </row>
    <row r="46" spans="2:16" s="4" customFormat="1" ht="86.45" hidden="1">
      <c r="B46" s="60"/>
      <c r="C46" s="63" t="s">
        <v>94</v>
      </c>
      <c r="D46" s="48" t="s">
        <v>207</v>
      </c>
      <c r="E46" s="44" t="s">
        <v>208</v>
      </c>
      <c r="F46" s="55" t="s">
        <v>209</v>
      </c>
      <c r="G46" s="24" t="s">
        <v>210</v>
      </c>
      <c r="H46" s="9"/>
      <c r="I46" s="66" t="s">
        <v>23</v>
      </c>
      <c r="J46" s="8"/>
      <c r="K46" s="26">
        <v>45737</v>
      </c>
      <c r="L46" s="26" t="s">
        <v>99</v>
      </c>
      <c r="M46" s="28" t="s">
        <v>100</v>
      </c>
      <c r="N46" s="26" t="s">
        <v>101</v>
      </c>
      <c r="O46" s="29">
        <v>1</v>
      </c>
      <c r="P46" s="30"/>
    </row>
    <row r="47" spans="2:16" s="4" customFormat="1" ht="72" hidden="1">
      <c r="B47" s="60"/>
      <c r="C47" s="63" t="s">
        <v>94</v>
      </c>
      <c r="D47" s="48" t="s">
        <v>211</v>
      </c>
      <c r="E47" s="44" t="s">
        <v>212</v>
      </c>
      <c r="F47" s="55" t="s">
        <v>213</v>
      </c>
      <c r="G47" s="24" t="s">
        <v>214</v>
      </c>
      <c r="H47" s="9"/>
      <c r="I47" s="66" t="s">
        <v>23</v>
      </c>
      <c r="J47" s="8"/>
      <c r="K47" s="27">
        <v>45891</v>
      </c>
      <c r="L47" s="28" t="s">
        <v>215</v>
      </c>
      <c r="M47" s="28" t="s">
        <v>124</v>
      </c>
      <c r="N47" s="27" t="s">
        <v>101</v>
      </c>
      <c r="O47" s="31">
        <v>0.3</v>
      </c>
      <c r="P47" s="32"/>
    </row>
    <row r="48" spans="2:16" s="4" customFormat="1" ht="57.6" hidden="1">
      <c r="B48" s="60"/>
      <c r="C48" s="63" t="s">
        <v>94</v>
      </c>
      <c r="D48" s="48" t="s">
        <v>216</v>
      </c>
      <c r="E48" s="44" t="s">
        <v>217</v>
      </c>
      <c r="F48" s="55" t="s">
        <v>218</v>
      </c>
      <c r="G48" s="24" t="s">
        <v>219</v>
      </c>
      <c r="H48" s="9"/>
      <c r="I48" s="66" t="s">
        <v>23</v>
      </c>
      <c r="J48" s="8"/>
      <c r="K48" s="26">
        <v>45782</v>
      </c>
      <c r="L48" s="26" t="s">
        <v>149</v>
      </c>
      <c r="M48" s="28" t="s">
        <v>100</v>
      </c>
      <c r="N48" s="26" t="s">
        <v>101</v>
      </c>
      <c r="O48" s="29">
        <v>1</v>
      </c>
      <c r="P48" s="30"/>
    </row>
    <row r="49" spans="2:16" s="4" customFormat="1" ht="86.45" hidden="1">
      <c r="B49" s="60"/>
      <c r="C49" s="63" t="s">
        <v>94</v>
      </c>
      <c r="D49" s="48" t="s">
        <v>220</v>
      </c>
      <c r="E49" s="44" t="s">
        <v>221</v>
      </c>
      <c r="F49" s="55" t="s">
        <v>222</v>
      </c>
      <c r="G49" s="24" t="s">
        <v>223</v>
      </c>
      <c r="H49" s="9"/>
      <c r="I49" s="66" t="s">
        <v>23</v>
      </c>
      <c r="J49" s="8"/>
      <c r="K49" s="27">
        <v>45908</v>
      </c>
      <c r="L49" s="28" t="s">
        <v>215</v>
      </c>
      <c r="M49" s="28" t="s">
        <v>124</v>
      </c>
      <c r="N49" s="28" t="s">
        <v>101</v>
      </c>
      <c r="O49" s="33" t="s">
        <v>224</v>
      </c>
      <c r="P49" s="30"/>
    </row>
    <row r="50" spans="2:16" s="4" customFormat="1" ht="57.6" hidden="1">
      <c r="B50" s="60"/>
      <c r="C50" s="63" t="s">
        <v>94</v>
      </c>
      <c r="D50" s="48" t="s">
        <v>225</v>
      </c>
      <c r="E50" s="44" t="s">
        <v>226</v>
      </c>
      <c r="F50" s="55" t="s">
        <v>227</v>
      </c>
      <c r="G50" s="24" t="s">
        <v>228</v>
      </c>
      <c r="H50" s="9"/>
      <c r="I50" s="66" t="s">
        <v>23</v>
      </c>
      <c r="J50" s="8"/>
      <c r="K50" s="27">
        <v>45908</v>
      </c>
      <c r="L50" s="28" t="s">
        <v>215</v>
      </c>
      <c r="M50" s="28" t="s">
        <v>100</v>
      </c>
      <c r="N50" s="26" t="s">
        <v>101</v>
      </c>
      <c r="O50" s="29">
        <v>1</v>
      </c>
      <c r="P50" s="24"/>
    </row>
    <row r="51" spans="2:16" s="4" customFormat="1" ht="72" hidden="1">
      <c r="B51" s="60"/>
      <c r="C51" s="63" t="s">
        <v>94</v>
      </c>
      <c r="D51" s="48" t="s">
        <v>229</v>
      </c>
      <c r="E51" s="44" t="s">
        <v>230</v>
      </c>
      <c r="F51" s="55" t="s">
        <v>231</v>
      </c>
      <c r="G51" s="24" t="s">
        <v>232</v>
      </c>
      <c r="H51" s="9"/>
      <c r="I51" s="66" t="s">
        <v>23</v>
      </c>
      <c r="J51" s="8"/>
      <c r="K51" s="27">
        <v>45908</v>
      </c>
      <c r="L51" s="28" t="s">
        <v>215</v>
      </c>
      <c r="M51" s="28" t="s">
        <v>124</v>
      </c>
      <c r="N51" s="26" t="s">
        <v>101</v>
      </c>
      <c r="O51" s="31">
        <v>0.1</v>
      </c>
      <c r="P51" s="24"/>
    </row>
    <row r="52" spans="2:16" s="4" customFormat="1" ht="86.45" hidden="1">
      <c r="B52" s="60"/>
      <c r="C52" s="63" t="s">
        <v>94</v>
      </c>
      <c r="D52" s="48" t="s">
        <v>233</v>
      </c>
      <c r="E52" s="44" t="s">
        <v>234</v>
      </c>
      <c r="F52" s="55" t="s">
        <v>235</v>
      </c>
      <c r="G52" s="24" t="s">
        <v>236</v>
      </c>
      <c r="H52" s="9"/>
      <c r="I52" s="66" t="s">
        <v>23</v>
      </c>
      <c r="J52" s="8"/>
      <c r="K52" s="27">
        <v>45943</v>
      </c>
      <c r="L52" s="28" t="s">
        <v>237</v>
      </c>
      <c r="M52" s="28" t="s">
        <v>124</v>
      </c>
      <c r="N52" s="28" t="s">
        <v>238</v>
      </c>
      <c r="O52" s="31">
        <v>0.3</v>
      </c>
      <c r="P52" s="24"/>
    </row>
    <row r="53" spans="2:16" ht="72" hidden="1">
      <c r="B53" s="61" t="s">
        <v>239</v>
      </c>
      <c r="C53" s="58" t="s">
        <v>240</v>
      </c>
      <c r="D53" s="49" t="s">
        <v>241</v>
      </c>
      <c r="E53" s="44" t="s">
        <v>242</v>
      </c>
      <c r="F53" s="56" t="s">
        <v>243</v>
      </c>
      <c r="G53" s="12" t="s">
        <v>244</v>
      </c>
      <c r="H53" s="12" t="s">
        <v>245</v>
      </c>
      <c r="I53" s="13" t="s">
        <v>23</v>
      </c>
      <c r="J53" s="10" t="s">
        <v>241</v>
      </c>
      <c r="K53" s="14">
        <v>45671</v>
      </c>
      <c r="L53" s="13" t="s">
        <v>246</v>
      </c>
      <c r="M53" s="13" t="s">
        <v>247</v>
      </c>
      <c r="N53" s="13" t="s">
        <v>248</v>
      </c>
      <c r="O53" s="19">
        <v>1</v>
      </c>
      <c r="P53" s="12" t="s">
        <v>249</v>
      </c>
    </row>
    <row r="54" spans="2:16" ht="115.15" hidden="1">
      <c r="B54" s="61" t="s">
        <v>239</v>
      </c>
      <c r="C54" s="58" t="s">
        <v>240</v>
      </c>
      <c r="D54" s="49" t="s">
        <v>250</v>
      </c>
      <c r="E54" s="44" t="s">
        <v>251</v>
      </c>
      <c r="F54" s="57" t="s">
        <v>252</v>
      </c>
      <c r="G54" s="12" t="s">
        <v>253</v>
      </c>
      <c r="H54" s="12" t="s">
        <v>245</v>
      </c>
      <c r="I54" s="13" t="s">
        <v>23</v>
      </c>
      <c r="J54" s="10" t="s">
        <v>250</v>
      </c>
      <c r="K54" s="14">
        <v>45671</v>
      </c>
      <c r="L54" s="13" t="s">
        <v>246</v>
      </c>
      <c r="M54" s="13" t="s">
        <v>247</v>
      </c>
      <c r="N54" s="13" t="s">
        <v>248</v>
      </c>
      <c r="O54" s="19">
        <v>1</v>
      </c>
      <c r="P54" s="12"/>
    </row>
    <row r="55" spans="2:16" ht="43.15" hidden="1">
      <c r="B55" s="42" t="s">
        <v>254</v>
      </c>
      <c r="C55" s="58" t="s">
        <v>240</v>
      </c>
      <c r="D55" s="49" t="s">
        <v>255</v>
      </c>
      <c r="E55" s="44" t="s">
        <v>256</v>
      </c>
      <c r="F55" s="58" t="s">
        <v>257</v>
      </c>
      <c r="G55" s="12" t="s">
        <v>258</v>
      </c>
      <c r="H55" s="12" t="s">
        <v>259</v>
      </c>
      <c r="I55" s="13" t="s">
        <v>23</v>
      </c>
      <c r="J55" s="10" t="s">
        <v>260</v>
      </c>
      <c r="K55" s="14">
        <v>45671</v>
      </c>
      <c r="L55" s="13" t="s">
        <v>246</v>
      </c>
      <c r="M55" s="13" t="s">
        <v>247</v>
      </c>
      <c r="N55" s="13" t="s">
        <v>248</v>
      </c>
      <c r="O55" s="19">
        <v>1</v>
      </c>
      <c r="P55" s="16" t="s">
        <v>261</v>
      </c>
    </row>
    <row r="56" spans="2:16" ht="86.45" hidden="1">
      <c r="B56" s="61" t="s">
        <v>239</v>
      </c>
      <c r="C56" s="58" t="s">
        <v>240</v>
      </c>
      <c r="D56" s="49" t="s">
        <v>262</v>
      </c>
      <c r="E56" s="44" t="s">
        <v>263</v>
      </c>
      <c r="F56" s="58" t="s">
        <v>264</v>
      </c>
      <c r="G56" s="12" t="s">
        <v>265</v>
      </c>
      <c r="H56" s="12" t="s">
        <v>266</v>
      </c>
      <c r="I56" s="13" t="s">
        <v>23</v>
      </c>
      <c r="J56" s="10" t="s">
        <v>262</v>
      </c>
      <c r="K56" s="14">
        <v>45671</v>
      </c>
      <c r="L56" s="13" t="s">
        <v>246</v>
      </c>
      <c r="M56" s="13" t="s">
        <v>247</v>
      </c>
      <c r="N56" s="13" t="s">
        <v>248</v>
      </c>
      <c r="O56" s="19">
        <v>1</v>
      </c>
      <c r="P56" s="12"/>
    </row>
    <row r="57" spans="2:16" ht="57.6" hidden="1">
      <c r="B57" s="61" t="s">
        <v>239</v>
      </c>
      <c r="C57" s="58" t="s">
        <v>240</v>
      </c>
      <c r="D57" s="49" t="s">
        <v>267</v>
      </c>
      <c r="E57" s="44" t="s">
        <v>268</v>
      </c>
      <c r="F57" s="57" t="s">
        <v>269</v>
      </c>
      <c r="G57" s="12" t="s">
        <v>270</v>
      </c>
      <c r="H57" s="12" t="s">
        <v>245</v>
      </c>
      <c r="I57" s="13" t="s">
        <v>23</v>
      </c>
      <c r="J57" s="10" t="s">
        <v>267</v>
      </c>
      <c r="K57" s="14">
        <v>45671</v>
      </c>
      <c r="L57" s="13" t="s">
        <v>246</v>
      </c>
      <c r="M57" s="13" t="s">
        <v>247</v>
      </c>
      <c r="N57" s="13" t="s">
        <v>248</v>
      </c>
      <c r="O57" s="19">
        <v>1</v>
      </c>
      <c r="P57" s="12"/>
    </row>
    <row r="58" spans="2:16" ht="172.9" hidden="1">
      <c r="B58" s="61" t="s">
        <v>239</v>
      </c>
      <c r="C58" s="58" t="s">
        <v>240</v>
      </c>
      <c r="D58" s="50" t="s">
        <v>271</v>
      </c>
      <c r="E58" s="43" t="s">
        <v>272</v>
      </c>
      <c r="F58" s="54" t="s">
        <v>273</v>
      </c>
      <c r="G58" s="10" t="s">
        <v>274</v>
      </c>
      <c r="H58" s="22" t="s">
        <v>275</v>
      </c>
      <c r="I58" s="13" t="s">
        <v>23</v>
      </c>
      <c r="J58" s="10" t="s">
        <v>271</v>
      </c>
      <c r="K58" s="14">
        <v>45671</v>
      </c>
      <c r="L58" s="13" t="s">
        <v>246</v>
      </c>
      <c r="M58" s="13" t="s">
        <v>276</v>
      </c>
      <c r="N58" s="13" t="s">
        <v>248</v>
      </c>
      <c r="O58" s="18">
        <v>0.8</v>
      </c>
      <c r="P58" s="12" t="s">
        <v>277</v>
      </c>
    </row>
    <row r="59" spans="2:16" ht="230.45" hidden="1">
      <c r="B59" s="180"/>
      <c r="C59" s="181" t="s">
        <v>278</v>
      </c>
      <c r="D59" s="182" t="s">
        <v>279</v>
      </c>
      <c r="E59" s="172" t="s">
        <v>280</v>
      </c>
      <c r="F59" s="173" t="s">
        <v>281</v>
      </c>
      <c r="G59" s="174" t="s">
        <v>282</v>
      </c>
      <c r="H59" s="183"/>
      <c r="I59" s="178" t="s">
        <v>23</v>
      </c>
      <c r="J59" s="184"/>
      <c r="K59" s="177">
        <v>45957</v>
      </c>
      <c r="L59" s="178" t="s">
        <v>123</v>
      </c>
      <c r="M59" s="178" t="s">
        <v>276</v>
      </c>
      <c r="N59" s="178" t="s">
        <v>125</v>
      </c>
      <c r="O59" s="175" t="s">
        <v>24</v>
      </c>
      <c r="P59" s="185"/>
    </row>
    <row r="60" spans="2:16" ht="115.15" hidden="1">
      <c r="B60" s="180"/>
      <c r="C60" s="181" t="s">
        <v>278</v>
      </c>
      <c r="D60" s="182" t="s">
        <v>159</v>
      </c>
      <c r="E60" s="172" t="s">
        <v>160</v>
      </c>
      <c r="F60" s="173" t="s">
        <v>283</v>
      </c>
      <c r="G60" s="174" t="s">
        <v>284</v>
      </c>
      <c r="H60" s="183"/>
      <c r="I60" s="178" t="s">
        <v>23</v>
      </c>
      <c r="J60" s="184"/>
      <c r="K60" s="177">
        <v>45957</v>
      </c>
      <c r="L60" s="178" t="s">
        <v>123</v>
      </c>
      <c r="M60" s="178" t="s">
        <v>276</v>
      </c>
      <c r="N60" s="178" t="s">
        <v>125</v>
      </c>
      <c r="O60" s="175" t="s">
        <v>24</v>
      </c>
      <c r="P60" s="185"/>
    </row>
    <row r="61" spans="2:16" ht="137.44999999999999" hidden="1" customHeight="1">
      <c r="B61" s="61"/>
      <c r="C61" s="58" t="s">
        <v>240</v>
      </c>
      <c r="D61" s="50" t="s">
        <v>285</v>
      </c>
      <c r="E61" s="43" t="s">
        <v>286</v>
      </c>
      <c r="F61" s="54" t="s">
        <v>287</v>
      </c>
      <c r="G61" s="11" t="s">
        <v>288</v>
      </c>
      <c r="H61" s="22"/>
      <c r="I61" s="13" t="s">
        <v>23</v>
      </c>
      <c r="J61" s="10" t="s">
        <v>271</v>
      </c>
      <c r="K61" s="14">
        <v>45671</v>
      </c>
      <c r="L61" s="13" t="s">
        <v>246</v>
      </c>
      <c r="M61" s="13" t="s">
        <v>276</v>
      </c>
      <c r="N61" s="13" t="s">
        <v>248</v>
      </c>
      <c r="O61" s="18">
        <v>0.95</v>
      </c>
      <c r="P61" s="12" t="s">
        <v>289</v>
      </c>
    </row>
    <row r="62" spans="2:16" ht="148.69999999999999" hidden="1" customHeight="1">
      <c r="B62" s="61" t="s">
        <v>239</v>
      </c>
      <c r="C62" s="58" t="s">
        <v>240</v>
      </c>
      <c r="D62" s="50" t="s">
        <v>290</v>
      </c>
      <c r="E62" s="43" t="s">
        <v>291</v>
      </c>
      <c r="F62" s="59" t="s">
        <v>292</v>
      </c>
      <c r="G62" s="10" t="s">
        <v>293</v>
      </c>
      <c r="H62" s="22" t="s">
        <v>275</v>
      </c>
      <c r="I62" s="13" t="s">
        <v>23</v>
      </c>
      <c r="J62" s="10" t="s">
        <v>250</v>
      </c>
      <c r="K62" s="14">
        <v>45931</v>
      </c>
      <c r="L62" s="13" t="s">
        <v>294</v>
      </c>
      <c r="M62" s="13" t="s">
        <v>276</v>
      </c>
      <c r="N62" s="13" t="s">
        <v>248</v>
      </c>
      <c r="O62" s="19">
        <v>1</v>
      </c>
      <c r="P62" s="16" t="s">
        <v>295</v>
      </c>
    </row>
    <row r="63" spans="2:16" ht="129.6" hidden="1">
      <c r="B63" s="61"/>
      <c r="C63" s="58" t="s">
        <v>240</v>
      </c>
      <c r="D63" s="50" t="s">
        <v>290</v>
      </c>
      <c r="E63" s="43" t="s">
        <v>296</v>
      </c>
      <c r="F63" s="59" t="s">
        <v>297</v>
      </c>
      <c r="G63" s="10" t="s">
        <v>298</v>
      </c>
      <c r="H63" s="22"/>
      <c r="I63" s="13" t="s">
        <v>23</v>
      </c>
      <c r="J63" s="10" t="s">
        <v>250</v>
      </c>
      <c r="K63" s="14">
        <v>45931</v>
      </c>
      <c r="L63" s="13" t="s">
        <v>294</v>
      </c>
      <c r="M63" s="13" t="s">
        <v>276</v>
      </c>
      <c r="N63" s="13" t="s">
        <v>238</v>
      </c>
      <c r="O63" s="18">
        <v>0.8</v>
      </c>
      <c r="P63" s="12" t="s">
        <v>299</v>
      </c>
    </row>
    <row r="64" spans="2:16" ht="158.44999999999999" hidden="1">
      <c r="B64" s="61" t="s">
        <v>239</v>
      </c>
      <c r="C64" s="58" t="s">
        <v>240</v>
      </c>
      <c r="D64" s="50" t="s">
        <v>300</v>
      </c>
      <c r="E64" s="43" t="s">
        <v>301</v>
      </c>
      <c r="F64" s="54" t="s">
        <v>302</v>
      </c>
      <c r="G64" s="11" t="s">
        <v>303</v>
      </c>
      <c r="H64" s="22" t="s">
        <v>275</v>
      </c>
      <c r="I64" s="13" t="s">
        <v>23</v>
      </c>
      <c r="J64" s="10" t="s">
        <v>300</v>
      </c>
      <c r="K64" s="14">
        <v>45770</v>
      </c>
      <c r="L64" s="13" t="s">
        <v>246</v>
      </c>
      <c r="M64" s="13" t="s">
        <v>276</v>
      </c>
      <c r="N64" s="13" t="s">
        <v>248</v>
      </c>
      <c r="O64" s="18">
        <v>0.9</v>
      </c>
      <c r="P64" s="12" t="s">
        <v>304</v>
      </c>
    </row>
    <row r="65" spans="2:16" ht="147" hidden="1" customHeight="1">
      <c r="B65" s="61"/>
      <c r="C65" s="58" t="s">
        <v>240</v>
      </c>
      <c r="D65" s="50" t="s">
        <v>300</v>
      </c>
      <c r="E65" s="43" t="s">
        <v>305</v>
      </c>
      <c r="F65" s="54" t="s">
        <v>306</v>
      </c>
      <c r="G65" s="11" t="s">
        <v>307</v>
      </c>
      <c r="H65" s="22"/>
      <c r="I65" s="13" t="s">
        <v>23</v>
      </c>
      <c r="J65" s="10" t="s">
        <v>300</v>
      </c>
      <c r="K65" s="14">
        <v>45931</v>
      </c>
      <c r="L65" s="13" t="s">
        <v>294</v>
      </c>
      <c r="M65" s="13" t="s">
        <v>276</v>
      </c>
      <c r="N65" s="13" t="s">
        <v>238</v>
      </c>
      <c r="O65" s="18">
        <v>0.8</v>
      </c>
      <c r="P65" s="12" t="s">
        <v>308</v>
      </c>
    </row>
    <row r="66" spans="2:16" ht="111" hidden="1" customHeight="1">
      <c r="B66" s="42" t="s">
        <v>309</v>
      </c>
      <c r="C66" s="58" t="s">
        <v>240</v>
      </c>
      <c r="D66" s="50" t="s">
        <v>310</v>
      </c>
      <c r="E66" s="43" t="s">
        <v>311</v>
      </c>
      <c r="F66" s="59" t="s">
        <v>312</v>
      </c>
      <c r="G66" s="10" t="s">
        <v>313</v>
      </c>
      <c r="H66" s="22" t="s">
        <v>275</v>
      </c>
      <c r="I66" s="13" t="s">
        <v>23</v>
      </c>
      <c r="J66" s="10" t="s">
        <v>310</v>
      </c>
      <c r="K66" s="14">
        <v>45770</v>
      </c>
      <c r="L66" s="13" t="s">
        <v>246</v>
      </c>
      <c r="M66" s="13" t="s">
        <v>276</v>
      </c>
      <c r="N66" s="13" t="s">
        <v>248</v>
      </c>
      <c r="O66" s="19">
        <v>1</v>
      </c>
      <c r="P66" s="12"/>
    </row>
    <row r="67" spans="2:16" ht="143.44999999999999" hidden="1" customHeight="1">
      <c r="C67" s="58" t="s">
        <v>240</v>
      </c>
      <c r="D67" s="50" t="s">
        <v>314</v>
      </c>
      <c r="E67" s="43" t="s">
        <v>315</v>
      </c>
      <c r="F67" s="59" t="s">
        <v>316</v>
      </c>
      <c r="G67" s="10" t="s">
        <v>317</v>
      </c>
      <c r="H67" s="22"/>
      <c r="I67" s="13" t="s">
        <v>23</v>
      </c>
      <c r="J67" s="10" t="s">
        <v>310</v>
      </c>
      <c r="K67" s="14">
        <v>45770</v>
      </c>
      <c r="L67" s="13" t="s">
        <v>246</v>
      </c>
      <c r="M67" s="13" t="s">
        <v>276</v>
      </c>
      <c r="N67" s="13" t="s">
        <v>248</v>
      </c>
      <c r="O67" s="18">
        <v>0.8</v>
      </c>
      <c r="P67" s="12"/>
    </row>
    <row r="68" spans="2:16" ht="201.6" hidden="1">
      <c r="B68" s="42" t="s">
        <v>318</v>
      </c>
      <c r="C68" s="58" t="s">
        <v>240</v>
      </c>
      <c r="D68" s="50" t="s">
        <v>319</v>
      </c>
      <c r="E68" s="43" t="s">
        <v>320</v>
      </c>
      <c r="F68" s="59" t="s">
        <v>321</v>
      </c>
      <c r="G68" s="10" t="s">
        <v>322</v>
      </c>
      <c r="H68" s="23" t="s">
        <v>275</v>
      </c>
      <c r="I68" s="13" t="s">
        <v>23</v>
      </c>
      <c r="J68" s="10" t="s">
        <v>323</v>
      </c>
      <c r="K68" s="14">
        <v>45770</v>
      </c>
      <c r="L68" s="13" t="s">
        <v>246</v>
      </c>
      <c r="M68" s="13" t="s">
        <v>276</v>
      </c>
      <c r="N68" s="13" t="s">
        <v>248</v>
      </c>
      <c r="O68" s="19">
        <v>1</v>
      </c>
      <c r="P68" s="12" t="s">
        <v>324</v>
      </c>
    </row>
    <row r="69" spans="2:16" ht="187.35" hidden="1" customHeight="1">
      <c r="C69" s="58" t="s">
        <v>240</v>
      </c>
      <c r="D69" s="50" t="s">
        <v>325</v>
      </c>
      <c r="E69" s="43" t="s">
        <v>326</v>
      </c>
      <c r="F69" s="59" t="s">
        <v>327</v>
      </c>
      <c r="G69" s="10" t="s">
        <v>328</v>
      </c>
      <c r="H69" s="13"/>
      <c r="I69" s="13" t="s">
        <v>23</v>
      </c>
      <c r="J69" s="10" t="s">
        <v>329</v>
      </c>
      <c r="K69" s="14">
        <v>45931</v>
      </c>
      <c r="L69" s="13" t="s">
        <v>294</v>
      </c>
      <c r="M69" s="13" t="s">
        <v>276</v>
      </c>
      <c r="N69" s="13" t="s">
        <v>238</v>
      </c>
      <c r="O69" s="18">
        <v>0.75</v>
      </c>
      <c r="P69" s="12" t="s">
        <v>330</v>
      </c>
    </row>
    <row r="70" spans="2:16" ht="290.45" hidden="1" customHeight="1">
      <c r="C70" s="58" t="s">
        <v>240</v>
      </c>
      <c r="D70" s="50" t="s">
        <v>331</v>
      </c>
      <c r="E70" s="43" t="s">
        <v>332</v>
      </c>
      <c r="F70" s="54" t="s">
        <v>333</v>
      </c>
      <c r="G70" s="11" t="s">
        <v>334</v>
      </c>
      <c r="H70" s="13"/>
      <c r="I70" s="13" t="s">
        <v>23</v>
      </c>
      <c r="J70" s="10" t="s">
        <v>329</v>
      </c>
      <c r="K70" s="14">
        <v>45931</v>
      </c>
      <c r="L70" s="13" t="s">
        <v>294</v>
      </c>
      <c r="M70" s="13" t="s">
        <v>276</v>
      </c>
      <c r="N70" s="13" t="s">
        <v>238</v>
      </c>
      <c r="O70" s="21" t="s">
        <v>24</v>
      </c>
      <c r="P70" s="12"/>
    </row>
    <row r="71" spans="2:16" ht="191.25" hidden="1" customHeight="1">
      <c r="C71" s="58" t="s">
        <v>240</v>
      </c>
      <c r="D71" s="50" t="s">
        <v>335</v>
      </c>
      <c r="E71" s="43" t="s">
        <v>336</v>
      </c>
      <c r="F71" s="54" t="s">
        <v>337</v>
      </c>
      <c r="G71" s="11" t="s">
        <v>338</v>
      </c>
      <c r="H71" s="13"/>
      <c r="I71" s="13" t="s">
        <v>23</v>
      </c>
      <c r="J71" s="10" t="s">
        <v>329</v>
      </c>
      <c r="K71" s="14">
        <v>45931</v>
      </c>
      <c r="L71" s="13" t="s">
        <v>294</v>
      </c>
      <c r="M71" s="13" t="s">
        <v>276</v>
      </c>
      <c r="N71" s="13" t="s">
        <v>238</v>
      </c>
      <c r="O71" s="21" t="s">
        <v>24</v>
      </c>
      <c r="P71" s="12" t="s">
        <v>339</v>
      </c>
    </row>
    <row r="72" spans="2:16" ht="191.25" hidden="1" customHeight="1">
      <c r="B72" s="186"/>
      <c r="C72" s="181" t="s">
        <v>278</v>
      </c>
      <c r="D72" s="182" t="s">
        <v>340</v>
      </c>
      <c r="E72" s="172" t="s">
        <v>341</v>
      </c>
      <c r="F72" s="173" t="s">
        <v>342</v>
      </c>
      <c r="G72" s="174" t="s">
        <v>343</v>
      </c>
      <c r="H72" s="178"/>
      <c r="I72" s="178" t="s">
        <v>23</v>
      </c>
      <c r="J72" s="177">
        <v>45957</v>
      </c>
      <c r="K72" s="177">
        <v>45957</v>
      </c>
      <c r="L72" s="178" t="s">
        <v>123</v>
      </c>
      <c r="M72" s="178" t="s">
        <v>276</v>
      </c>
      <c r="N72" s="178" t="s">
        <v>125</v>
      </c>
      <c r="O72" s="175" t="s">
        <v>24</v>
      </c>
      <c r="P72" s="185"/>
    </row>
    <row r="73" spans="2:16" ht="191.25" hidden="1" customHeight="1">
      <c r="B73" s="186"/>
      <c r="C73" s="181" t="s">
        <v>278</v>
      </c>
      <c r="D73" s="182" t="s">
        <v>344</v>
      </c>
      <c r="E73" s="172" t="s">
        <v>345</v>
      </c>
      <c r="F73" s="173" t="s">
        <v>346</v>
      </c>
      <c r="G73" s="174" t="s">
        <v>347</v>
      </c>
      <c r="H73" s="178"/>
      <c r="I73" s="178" t="s">
        <v>23</v>
      </c>
      <c r="J73" s="177">
        <v>45957</v>
      </c>
      <c r="K73" s="177">
        <v>45957</v>
      </c>
      <c r="L73" s="178" t="s">
        <v>123</v>
      </c>
      <c r="M73" s="178" t="s">
        <v>276</v>
      </c>
      <c r="N73" s="178" t="s">
        <v>125</v>
      </c>
      <c r="O73" s="175" t="s">
        <v>24</v>
      </c>
      <c r="P73" s="185"/>
    </row>
    <row r="74" spans="2:16" ht="115.15" hidden="1">
      <c r="B74" s="186"/>
      <c r="C74" s="181" t="s">
        <v>240</v>
      </c>
      <c r="D74" s="182" t="s">
        <v>348</v>
      </c>
      <c r="E74" s="172" t="s">
        <v>349</v>
      </c>
      <c r="F74" s="187" t="s">
        <v>350</v>
      </c>
      <c r="G74" s="184" t="s">
        <v>351</v>
      </c>
      <c r="H74" s="185"/>
      <c r="I74" s="178" t="s">
        <v>23</v>
      </c>
      <c r="J74" s="184" t="s">
        <v>352</v>
      </c>
      <c r="K74" s="177">
        <v>45931</v>
      </c>
      <c r="L74" s="178" t="s">
        <v>294</v>
      </c>
      <c r="M74" s="178" t="s">
        <v>276</v>
      </c>
      <c r="N74" s="178" t="s">
        <v>238</v>
      </c>
      <c r="O74" s="175" t="s">
        <v>24</v>
      </c>
      <c r="P74" s="185" t="s">
        <v>353</v>
      </c>
    </row>
    <row r="75" spans="2:16" ht="86.45" hidden="1">
      <c r="B75" s="186"/>
      <c r="C75" s="181" t="s">
        <v>240</v>
      </c>
      <c r="D75" s="182" t="s">
        <v>348</v>
      </c>
      <c r="E75" s="172" t="s">
        <v>354</v>
      </c>
      <c r="F75" s="187" t="s">
        <v>355</v>
      </c>
      <c r="G75" s="184" t="s">
        <v>356</v>
      </c>
      <c r="H75" s="185"/>
      <c r="I75" s="178" t="s">
        <v>23</v>
      </c>
      <c r="J75" s="184" t="s">
        <v>352</v>
      </c>
      <c r="K75" s="177">
        <v>45931</v>
      </c>
      <c r="L75" s="178" t="s">
        <v>294</v>
      </c>
      <c r="M75" s="178" t="s">
        <v>276</v>
      </c>
      <c r="N75" s="178" t="s">
        <v>238</v>
      </c>
      <c r="O75" s="188">
        <v>0.75</v>
      </c>
      <c r="P75" s="185" t="s">
        <v>357</v>
      </c>
    </row>
    <row r="76" spans="2:16" ht="57.6" hidden="1">
      <c r="B76" s="186"/>
      <c r="C76" s="181" t="s">
        <v>358</v>
      </c>
      <c r="D76" s="182" t="s">
        <v>359</v>
      </c>
      <c r="E76" s="172" t="s">
        <v>360</v>
      </c>
      <c r="F76" s="173" t="s">
        <v>361</v>
      </c>
      <c r="G76" s="174" t="s">
        <v>362</v>
      </c>
      <c r="H76" s="185"/>
      <c r="I76" s="178" t="s">
        <v>23</v>
      </c>
      <c r="J76" s="177">
        <v>45957</v>
      </c>
      <c r="K76" s="177">
        <v>45957</v>
      </c>
      <c r="L76" s="178" t="s">
        <v>123</v>
      </c>
      <c r="M76" s="178" t="s">
        <v>276</v>
      </c>
      <c r="N76" s="178" t="s">
        <v>125</v>
      </c>
      <c r="O76" s="175" t="s">
        <v>24</v>
      </c>
      <c r="P76" s="185"/>
    </row>
    <row r="77" spans="2:16" ht="14.45" customHeight="1">
      <c r="F77" s="15"/>
    </row>
    <row r="78" spans="2:16">
      <c r="F78" s="15"/>
    </row>
    <row r="79" spans="2:16" ht="14.45" customHeight="1">
      <c r="F79" s="15"/>
    </row>
  </sheetData>
  <autoFilter ref="C4:P76" xr:uid="{35BDACB4-D5CF-4396-B4E6-FAD1988FDC94}">
    <filterColumn colId="0">
      <filters>
        <filter val="Census - HC (Updated for SynergEY.ai)"/>
      </filters>
    </filterColumn>
  </autoFilter>
  <mergeCells count="1">
    <mergeCell ref="B2:F2"/>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ellIs" priority="1" operator="equal" id="{7E50E164-A116-4184-8B99-1B1B48B40DCD}">
            <xm:f>'Drop Downs'!$B$4</xm:f>
            <x14:dxf>
              <font>
                <color theme="5"/>
              </font>
            </x14:dxf>
          </x14:cfRule>
          <x14:cfRule type="cellIs" priority="2" operator="equal" id="{866D99D4-8467-4006-A252-1EE63F87E05B}">
            <xm:f>'Drop Downs'!$B$5</xm:f>
            <x14:dxf>
              <font>
                <color theme="9"/>
              </font>
            </x14:dxf>
          </x14:cfRule>
          <x14:cfRule type="cellIs" priority="3" operator="equal" id="{AFED2242-366E-49AA-8ABA-3E2380BD0704}">
            <xm:f>'Drop Downs'!$B$3</xm:f>
            <x14:dxf>
              <font>
                <color rgb="FFFF0000"/>
              </font>
            </x14:dxf>
          </x14:cfRule>
          <xm:sqref>I53:I76 H69:H73</xm:sqref>
        </x14:conditionalFormatting>
        <x14:conditionalFormatting xmlns:xm="http://schemas.microsoft.com/office/excel/2006/main">
          <x14:cfRule type="cellIs" priority="10" operator="equal" id="{82E0E058-F6E2-4E8B-A301-BFC050E96FAE}">
            <xm:f>'Drop Downs'!$B$4</xm:f>
            <x14:dxf>
              <font>
                <color theme="5"/>
              </font>
            </x14:dxf>
          </x14:cfRule>
          <x14:cfRule type="cellIs" priority="11" operator="equal" id="{D6802482-DB2D-4A5C-83D4-4149658474C1}">
            <xm:f>'Drop Downs'!$B$5</xm:f>
            <x14:dxf>
              <font>
                <color theme="9"/>
              </font>
            </x14:dxf>
          </x14:cfRule>
          <x14:cfRule type="cellIs" priority="12" operator="equal" id="{E13BCC61-D491-4D39-83E9-910C6141B58D}">
            <xm:f>'Drop Downs'!$B$3</xm:f>
            <x14:dxf>
              <font>
                <color rgb="FFFF0000"/>
              </font>
            </x14:dxf>
          </x14:cfRule>
          <xm:sqref>I77:J1048576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83FD378E-6F21-43E7-B60C-232F57247957}">
          <x14:formula1>
            <xm:f>'Drop Downs'!$B$3:$B$6</xm:f>
          </x14:formula1>
          <xm:sqref>H69:H73 I53:I1048576</xm:sqref>
        </x14:dataValidation>
        <x14:dataValidation type="list" allowBlank="1" showInputMessage="1" showErrorMessage="1" xr:uid="{010D7FFC-5AC0-4888-8400-76C90D47FC99}">
          <x14:formula1>
            <xm:f>'Drop Downs'!$E$3:$E$8</xm:f>
          </x14:formula1>
          <xm:sqref>C77:C1048576 B53:B1048576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F3381-2FDA-4D64-B830-9D8250954AA0}">
  <sheetPr filterMode="1"/>
  <dimension ref="A1:T168"/>
  <sheetViews>
    <sheetView workbookViewId="0">
      <pane ySplit="3" topLeftCell="H31" activePane="bottomLeft" state="frozen"/>
      <selection pane="bottomLeft" activeCell="A54" sqref="A1:T54"/>
    </sheetView>
  </sheetViews>
  <sheetFormatPr defaultRowHeight="14.45"/>
  <cols>
    <col min="2" max="2" width="33.5703125" customWidth="1"/>
    <col min="3" max="3" width="24.28515625" customWidth="1"/>
    <col min="4" max="4" width="34.7109375" style="195" bestFit="1" customWidth="1"/>
    <col min="5" max="5" width="53" customWidth="1"/>
    <col min="6" max="6" width="31.5703125" hidden="1" customWidth="1"/>
    <col min="7" max="7" width="60.7109375" customWidth="1"/>
    <col min="8" max="8" width="43.5703125" customWidth="1"/>
    <col min="9" max="11" width="30.7109375" style="373" customWidth="1"/>
    <col min="12" max="12" width="30.7109375" customWidth="1"/>
    <col min="13" max="13" width="15.85546875" customWidth="1"/>
    <col min="14" max="14" width="20.5703125" hidden="1" customWidth="1"/>
    <col min="15" max="15" width="15.28515625" hidden="1" customWidth="1"/>
    <col min="16" max="16" width="14.28515625" hidden="1" customWidth="1"/>
    <col min="17" max="17" width="16.28515625" hidden="1" customWidth="1"/>
    <col min="18" max="18" width="15.42578125" hidden="1" customWidth="1"/>
    <col min="19" max="19" width="13.5703125" customWidth="1"/>
    <col min="20" max="20" width="20.28515625" customWidth="1"/>
  </cols>
  <sheetData>
    <row r="1" spans="1:20" ht="25.9">
      <c r="A1" s="3"/>
      <c r="B1" s="527" t="s">
        <v>0</v>
      </c>
      <c r="C1" s="527"/>
      <c r="D1" s="527"/>
      <c r="E1" s="527"/>
      <c r="F1" s="527"/>
      <c r="G1" s="194"/>
      <c r="H1" s="3"/>
      <c r="I1" s="4"/>
      <c r="J1" s="4"/>
      <c r="K1" s="4"/>
      <c r="L1" s="3"/>
      <c r="M1" s="4"/>
      <c r="N1" s="6"/>
      <c r="O1" s="3"/>
      <c r="P1" s="3"/>
      <c r="Q1" s="3"/>
      <c r="R1" s="3"/>
      <c r="S1" s="17"/>
      <c r="T1" s="3"/>
    </row>
    <row r="2" spans="1:20">
      <c r="A2" s="3"/>
      <c r="B2" s="215"/>
      <c r="C2" s="4"/>
      <c r="D2" s="3"/>
      <c r="E2" s="44"/>
      <c r="F2" s="3"/>
      <c r="G2" s="3"/>
      <c r="H2" s="3"/>
      <c r="I2" s="4"/>
      <c r="J2" s="4"/>
      <c r="K2" s="4"/>
      <c r="L2" s="3"/>
      <c r="M2" s="4"/>
      <c r="N2" s="6"/>
      <c r="O2" s="4"/>
      <c r="P2" s="4"/>
      <c r="Q2" s="4"/>
      <c r="R2" s="3"/>
      <c r="S2" s="17"/>
      <c r="T2" s="3"/>
    </row>
    <row r="3" spans="1:20" ht="28.9">
      <c r="A3" s="196" t="s">
        <v>363</v>
      </c>
      <c r="B3" s="216" t="s">
        <v>2</v>
      </c>
      <c r="C3" s="197" t="s">
        <v>3</v>
      </c>
      <c r="D3" s="361" t="s">
        <v>4</v>
      </c>
      <c r="E3" s="198" t="s">
        <v>5</v>
      </c>
      <c r="F3" s="199" t="s">
        <v>6</v>
      </c>
      <c r="G3" s="199" t="s">
        <v>364</v>
      </c>
      <c r="H3" s="200" t="s">
        <v>7</v>
      </c>
      <c r="I3" s="35" t="s">
        <v>365</v>
      </c>
      <c r="J3" s="35" t="s">
        <v>366</v>
      </c>
      <c r="K3" s="35" t="s">
        <v>367</v>
      </c>
      <c r="L3" s="201" t="s">
        <v>368</v>
      </c>
      <c r="M3" s="200" t="s">
        <v>9</v>
      </c>
      <c r="N3" s="200" t="s">
        <v>10</v>
      </c>
      <c r="O3" s="200" t="s">
        <v>11</v>
      </c>
      <c r="P3" s="200" t="s">
        <v>12</v>
      </c>
      <c r="Q3" s="200" t="s">
        <v>13</v>
      </c>
      <c r="R3" s="200" t="s">
        <v>14</v>
      </c>
      <c r="S3" s="200" t="s">
        <v>15</v>
      </c>
      <c r="T3" s="200" t="s">
        <v>16</v>
      </c>
    </row>
    <row r="4" spans="1:20" hidden="1">
      <c r="A4" s="531" t="s">
        <v>369</v>
      </c>
      <c r="B4" s="532"/>
      <c r="C4" s="532"/>
      <c r="D4" s="532"/>
      <c r="E4" s="532"/>
      <c r="F4" s="532"/>
      <c r="G4" s="532"/>
      <c r="H4" s="532"/>
      <c r="I4" s="532"/>
      <c r="J4" s="532"/>
      <c r="K4" s="532"/>
      <c r="L4" s="532"/>
      <c r="M4" s="532"/>
      <c r="N4" s="532"/>
      <c r="O4" s="532"/>
      <c r="P4" s="532"/>
      <c r="Q4" s="532"/>
      <c r="R4" s="532"/>
      <c r="S4" s="532"/>
      <c r="T4" s="532"/>
    </row>
    <row r="5" spans="1:20" s="195" customFormat="1" ht="168" customHeight="1">
      <c r="A5" s="203" t="s">
        <v>370</v>
      </c>
      <c r="B5" s="204" t="s">
        <v>17</v>
      </c>
      <c r="C5" s="203" t="s">
        <v>371</v>
      </c>
      <c r="D5" s="203" t="s">
        <v>372</v>
      </c>
      <c r="E5" s="203" t="s">
        <v>373</v>
      </c>
      <c r="F5" s="362"/>
      <c r="G5" s="205" t="s">
        <v>374</v>
      </c>
      <c r="H5" s="203" t="s">
        <v>375</v>
      </c>
      <c r="I5" s="42">
        <v>1</v>
      </c>
      <c r="J5" s="42">
        <f>K5/8</f>
        <v>1</v>
      </c>
      <c r="K5" s="42">
        <v>8</v>
      </c>
      <c r="L5" s="203"/>
      <c r="M5" s="203" t="s">
        <v>23</v>
      </c>
      <c r="N5" s="203"/>
      <c r="O5" s="203"/>
      <c r="P5" s="203"/>
      <c r="Q5" s="203"/>
      <c r="R5" s="203"/>
      <c r="S5" s="203" t="s">
        <v>376</v>
      </c>
      <c r="T5" s="203" t="s">
        <v>377</v>
      </c>
    </row>
    <row r="6" spans="1:20" ht="188.25">
      <c r="A6" s="203" t="s">
        <v>378</v>
      </c>
      <c r="B6" s="204" t="s">
        <v>17</v>
      </c>
      <c r="C6" s="203" t="s">
        <v>371</v>
      </c>
      <c r="D6" s="203" t="s">
        <v>379</v>
      </c>
      <c r="E6" s="203" t="s">
        <v>380</v>
      </c>
      <c r="F6" s="220"/>
      <c r="G6" s="205" t="s">
        <v>381</v>
      </c>
      <c r="H6" s="203" t="s">
        <v>382</v>
      </c>
      <c r="I6" s="215">
        <v>1</v>
      </c>
      <c r="J6" s="42">
        <f t="shared" ref="J6:J27" si="0">K6/8</f>
        <v>1</v>
      </c>
      <c r="K6" s="215">
        <v>8</v>
      </c>
      <c r="L6" s="206"/>
      <c r="M6" s="203" t="s">
        <v>23</v>
      </c>
      <c r="N6" s="206"/>
      <c r="O6" s="206"/>
      <c r="P6" s="206"/>
      <c r="Q6" s="206"/>
      <c r="R6" s="206"/>
      <c r="S6" s="203" t="s">
        <v>376</v>
      </c>
      <c r="T6" s="203" t="s">
        <v>377</v>
      </c>
    </row>
    <row r="7" spans="1:20" ht="144.75">
      <c r="A7" s="203" t="s">
        <v>383</v>
      </c>
      <c r="B7" s="204" t="s">
        <v>17</v>
      </c>
      <c r="C7" s="203" t="s">
        <v>371</v>
      </c>
      <c r="D7" s="203" t="s">
        <v>384</v>
      </c>
      <c r="E7" s="203" t="s">
        <v>385</v>
      </c>
      <c r="F7" s="220"/>
      <c r="G7" s="205" t="s">
        <v>386</v>
      </c>
      <c r="H7" s="203" t="s">
        <v>387</v>
      </c>
      <c r="I7" s="215">
        <v>1</v>
      </c>
      <c r="J7" s="42">
        <f t="shared" si="0"/>
        <v>1</v>
      </c>
      <c r="K7" s="215">
        <v>8</v>
      </c>
      <c r="L7" s="206"/>
      <c r="M7" s="203" t="s">
        <v>23</v>
      </c>
      <c r="N7" s="206"/>
      <c r="O7" s="206"/>
      <c r="P7" s="206"/>
      <c r="Q7" s="206"/>
      <c r="R7" s="206"/>
      <c r="S7" s="203" t="s">
        <v>376</v>
      </c>
      <c r="T7" s="203" t="s">
        <v>377</v>
      </c>
    </row>
    <row r="8" spans="1:20" ht="303.75">
      <c r="A8" s="203" t="s">
        <v>388</v>
      </c>
      <c r="B8" s="204" t="s">
        <v>17</v>
      </c>
      <c r="C8" s="203" t="s">
        <v>371</v>
      </c>
      <c r="D8" s="203" t="s">
        <v>389</v>
      </c>
      <c r="E8" s="203" t="s">
        <v>390</v>
      </c>
      <c r="F8" s="220"/>
      <c r="G8" s="207" t="s">
        <v>391</v>
      </c>
      <c r="H8" s="203" t="s">
        <v>392</v>
      </c>
      <c r="I8" s="215">
        <v>1</v>
      </c>
      <c r="J8" s="42">
        <f t="shared" si="0"/>
        <v>2</v>
      </c>
      <c r="K8" s="215">
        <v>16</v>
      </c>
      <c r="L8" s="206"/>
      <c r="M8" s="203" t="s">
        <v>23</v>
      </c>
      <c r="N8" s="206"/>
      <c r="O8" s="206"/>
      <c r="P8" s="206"/>
      <c r="Q8" s="206"/>
      <c r="R8" s="206"/>
      <c r="S8" s="206" t="s">
        <v>245</v>
      </c>
      <c r="T8" s="203" t="s">
        <v>393</v>
      </c>
    </row>
    <row r="9" spans="1:20" ht="115.5">
      <c r="A9" s="203" t="s">
        <v>394</v>
      </c>
      <c r="B9" s="204" t="s">
        <v>17</v>
      </c>
      <c r="C9" s="203" t="s">
        <v>371</v>
      </c>
      <c r="D9" s="203" t="s">
        <v>395</v>
      </c>
      <c r="E9" s="203" t="s">
        <v>396</v>
      </c>
      <c r="F9" s="220"/>
      <c r="G9" s="205" t="s">
        <v>397</v>
      </c>
      <c r="H9" s="203" t="s">
        <v>398</v>
      </c>
      <c r="I9" s="215">
        <v>1</v>
      </c>
      <c r="J9" s="42">
        <f t="shared" si="0"/>
        <v>2</v>
      </c>
      <c r="K9" s="215">
        <v>16</v>
      </c>
      <c r="L9" s="206"/>
      <c r="M9" s="203" t="s">
        <v>23</v>
      </c>
      <c r="N9" s="206"/>
      <c r="O9" s="206"/>
      <c r="P9" s="206"/>
      <c r="Q9" s="206"/>
      <c r="R9" s="206"/>
      <c r="S9" s="206" t="s">
        <v>245</v>
      </c>
      <c r="T9" s="203" t="s">
        <v>393</v>
      </c>
    </row>
    <row r="10" spans="1:20" ht="409.6">
      <c r="A10" s="203" t="s">
        <v>399</v>
      </c>
      <c r="B10" s="204" t="s">
        <v>17</v>
      </c>
      <c r="C10" s="203" t="s">
        <v>371</v>
      </c>
      <c r="D10" s="203" t="s">
        <v>400</v>
      </c>
      <c r="E10" s="203" t="s">
        <v>401</v>
      </c>
      <c r="F10" s="220"/>
      <c r="G10" s="207" t="s">
        <v>402</v>
      </c>
      <c r="H10" s="203" t="s">
        <v>403</v>
      </c>
      <c r="I10" s="215">
        <v>1</v>
      </c>
      <c r="J10" s="42">
        <f t="shared" si="0"/>
        <v>2</v>
      </c>
      <c r="K10" s="215">
        <v>16</v>
      </c>
      <c r="L10" s="206"/>
      <c r="M10" s="203" t="s">
        <v>23</v>
      </c>
      <c r="N10" s="206"/>
      <c r="O10" s="206"/>
      <c r="P10" s="206"/>
      <c r="Q10" s="206"/>
      <c r="R10" s="206"/>
      <c r="S10" s="206" t="s">
        <v>245</v>
      </c>
      <c r="T10" s="203" t="s">
        <v>404</v>
      </c>
    </row>
    <row r="11" spans="1:20" ht="237.75" customHeight="1">
      <c r="A11" s="203" t="s">
        <v>405</v>
      </c>
      <c r="B11" s="206" t="s">
        <v>369</v>
      </c>
      <c r="C11" s="203" t="s">
        <v>406</v>
      </c>
      <c r="D11" s="203" t="s">
        <v>407</v>
      </c>
      <c r="E11" s="203" t="s">
        <v>408</v>
      </c>
      <c r="F11" s="220"/>
      <c r="G11" s="205" t="s">
        <v>409</v>
      </c>
      <c r="H11" s="203" t="s">
        <v>410</v>
      </c>
      <c r="I11" s="215">
        <v>1</v>
      </c>
      <c r="J11" s="42">
        <f t="shared" si="0"/>
        <v>1</v>
      </c>
      <c r="K11" s="215">
        <v>8</v>
      </c>
      <c r="L11" s="206"/>
      <c r="M11" s="203" t="s">
        <v>23</v>
      </c>
      <c r="N11" s="206"/>
      <c r="O11" s="206"/>
      <c r="P11" s="206"/>
      <c r="Q11" s="206"/>
      <c r="R11" s="206"/>
      <c r="S11" s="206" t="s">
        <v>245</v>
      </c>
      <c r="T11" s="203" t="s">
        <v>404</v>
      </c>
    </row>
    <row r="12" spans="1:20" ht="358.5" customHeight="1">
      <c r="A12" s="203" t="s">
        <v>411</v>
      </c>
      <c r="B12" s="206" t="s">
        <v>369</v>
      </c>
      <c r="C12" s="203" t="s">
        <v>406</v>
      </c>
      <c r="D12" s="203" t="s">
        <v>412</v>
      </c>
      <c r="E12" s="203" t="s">
        <v>413</v>
      </c>
      <c r="F12" s="220"/>
      <c r="G12" s="207" t="s">
        <v>414</v>
      </c>
      <c r="H12" s="203" t="s">
        <v>415</v>
      </c>
      <c r="I12" s="215">
        <v>1</v>
      </c>
      <c r="J12" s="42">
        <f t="shared" si="0"/>
        <v>4</v>
      </c>
      <c r="K12" s="215">
        <v>32</v>
      </c>
      <c r="L12" s="206"/>
      <c r="M12" s="203" t="s">
        <v>23</v>
      </c>
      <c r="N12" s="206"/>
      <c r="O12" s="206"/>
      <c r="P12" s="206"/>
      <c r="Q12" s="206"/>
      <c r="R12" s="206"/>
      <c r="S12" s="206" t="s">
        <v>245</v>
      </c>
      <c r="T12" s="203" t="s">
        <v>404</v>
      </c>
    </row>
    <row r="13" spans="1:20" ht="231">
      <c r="A13" s="203" t="s">
        <v>416</v>
      </c>
      <c r="B13" s="206" t="s">
        <v>369</v>
      </c>
      <c r="C13" s="203" t="s">
        <v>406</v>
      </c>
      <c r="D13" s="203" t="s">
        <v>417</v>
      </c>
      <c r="E13" s="203" t="s">
        <v>418</v>
      </c>
      <c r="F13" s="220"/>
      <c r="G13" s="205" t="s">
        <v>419</v>
      </c>
      <c r="H13" s="203" t="s">
        <v>420</v>
      </c>
      <c r="I13" s="215">
        <v>1</v>
      </c>
      <c r="J13" s="42">
        <f t="shared" si="0"/>
        <v>10</v>
      </c>
      <c r="K13" s="215">
        <v>80</v>
      </c>
      <c r="L13" s="206"/>
      <c r="M13" s="203" t="s">
        <v>23</v>
      </c>
      <c r="N13" s="206"/>
      <c r="O13" s="206"/>
      <c r="P13" s="206"/>
      <c r="Q13" s="206"/>
      <c r="R13" s="206"/>
      <c r="S13" s="206" t="s">
        <v>421</v>
      </c>
      <c r="T13" s="203" t="s">
        <v>422</v>
      </c>
    </row>
    <row r="14" spans="1:20" s="202" customFormat="1" ht="233.25" customHeight="1">
      <c r="A14" s="203" t="s">
        <v>423</v>
      </c>
      <c r="B14" s="206" t="s">
        <v>369</v>
      </c>
      <c r="C14" s="203" t="s">
        <v>406</v>
      </c>
      <c r="D14" s="203" t="s">
        <v>417</v>
      </c>
      <c r="E14" s="203" t="s">
        <v>424</v>
      </c>
      <c r="F14" s="220"/>
      <c r="G14" s="203" t="s">
        <v>425</v>
      </c>
      <c r="H14" s="203" t="s">
        <v>426</v>
      </c>
      <c r="I14" s="215">
        <v>1</v>
      </c>
      <c r="J14" s="42">
        <f t="shared" si="0"/>
        <v>2</v>
      </c>
      <c r="K14" s="215">
        <v>16</v>
      </c>
      <c r="L14" s="206"/>
      <c r="M14" s="203" t="s">
        <v>23</v>
      </c>
      <c r="N14" s="206"/>
      <c r="O14" s="206"/>
      <c r="P14" s="206"/>
      <c r="Q14" s="206"/>
      <c r="R14" s="206"/>
      <c r="S14" s="206"/>
      <c r="T14" s="203" t="s">
        <v>427</v>
      </c>
    </row>
    <row r="15" spans="1:20" ht="86.45">
      <c r="A15" s="203" t="s">
        <v>428</v>
      </c>
      <c r="B15" s="206" t="s">
        <v>369</v>
      </c>
      <c r="C15" s="203" t="s">
        <v>406</v>
      </c>
      <c r="D15" s="208" t="s">
        <v>159</v>
      </c>
      <c r="E15" s="208" t="s">
        <v>429</v>
      </c>
      <c r="F15" s="363"/>
      <c r="G15" s="209" t="s">
        <v>430</v>
      </c>
      <c r="H15" s="208" t="s">
        <v>431</v>
      </c>
      <c r="I15" s="215">
        <v>1</v>
      </c>
      <c r="J15" s="42">
        <f t="shared" si="0"/>
        <v>5</v>
      </c>
      <c r="K15" s="215">
        <v>40</v>
      </c>
      <c r="L15" s="191"/>
      <c r="M15" s="203" t="s">
        <v>23</v>
      </c>
      <c r="N15" s="191"/>
      <c r="O15" s="191"/>
      <c r="P15" s="191"/>
      <c r="Q15" s="191"/>
      <c r="R15" s="191"/>
      <c r="S15" s="191" t="s">
        <v>421</v>
      </c>
      <c r="T15" s="191" t="s">
        <v>432</v>
      </c>
    </row>
    <row r="16" spans="1:20" s="202" customFormat="1" ht="230.25" customHeight="1">
      <c r="A16" s="203" t="s">
        <v>433</v>
      </c>
      <c r="B16" s="206" t="s">
        <v>369</v>
      </c>
      <c r="C16" s="203" t="s">
        <v>406</v>
      </c>
      <c r="D16" s="203" t="s">
        <v>434</v>
      </c>
      <c r="E16" s="203" t="s">
        <v>435</v>
      </c>
      <c r="F16" s="220"/>
      <c r="G16" s="205" t="s">
        <v>436</v>
      </c>
      <c r="H16" s="203" t="s">
        <v>437</v>
      </c>
      <c r="I16" s="215">
        <v>1</v>
      </c>
      <c r="J16" s="42">
        <f t="shared" si="0"/>
        <v>10</v>
      </c>
      <c r="K16" s="215">
        <v>80</v>
      </c>
      <c r="L16" s="206"/>
      <c r="M16" s="203" t="s">
        <v>23</v>
      </c>
      <c r="N16" s="206"/>
      <c r="O16" s="206"/>
      <c r="P16" s="206"/>
      <c r="Q16" s="206"/>
      <c r="R16" s="206"/>
      <c r="S16" s="206" t="s">
        <v>245</v>
      </c>
      <c r="T16" s="203" t="s">
        <v>438</v>
      </c>
    </row>
    <row r="17" spans="1:20" s="202" customFormat="1" ht="72">
      <c r="A17" s="203" t="s">
        <v>439</v>
      </c>
      <c r="B17" s="206" t="s">
        <v>369</v>
      </c>
      <c r="C17" s="203" t="s">
        <v>406</v>
      </c>
      <c r="D17" s="203" t="s">
        <v>440</v>
      </c>
      <c r="E17" s="203" t="s">
        <v>441</v>
      </c>
      <c r="F17" s="220"/>
      <c r="G17" s="205" t="s">
        <v>442</v>
      </c>
      <c r="H17" s="203" t="s">
        <v>443</v>
      </c>
      <c r="I17" s="215">
        <v>1</v>
      </c>
      <c r="J17" s="42">
        <f t="shared" si="0"/>
        <v>5</v>
      </c>
      <c r="K17" s="215">
        <v>40</v>
      </c>
      <c r="L17" s="206"/>
      <c r="M17" s="203" t="s">
        <v>23</v>
      </c>
      <c r="N17" s="206"/>
      <c r="O17" s="206"/>
      <c r="P17" s="206"/>
      <c r="Q17" s="206"/>
      <c r="R17" s="206"/>
      <c r="S17" s="206" t="s">
        <v>245</v>
      </c>
      <c r="T17" s="206"/>
    </row>
    <row r="18" spans="1:20" s="202" customFormat="1" ht="316.5" customHeight="1">
      <c r="A18" s="203" t="s">
        <v>444</v>
      </c>
      <c r="B18" s="206" t="s">
        <v>369</v>
      </c>
      <c r="C18" s="203" t="s">
        <v>406</v>
      </c>
      <c r="D18" s="203" t="s">
        <v>440</v>
      </c>
      <c r="E18" s="203" t="s">
        <v>445</v>
      </c>
      <c r="F18" s="362" t="s">
        <v>446</v>
      </c>
      <c r="G18" s="205" t="s">
        <v>447</v>
      </c>
      <c r="H18" s="203" t="s">
        <v>448</v>
      </c>
      <c r="I18" s="215">
        <v>1</v>
      </c>
      <c r="J18" s="42">
        <f t="shared" si="0"/>
        <v>5</v>
      </c>
      <c r="K18" s="215">
        <v>40</v>
      </c>
      <c r="L18" s="206"/>
      <c r="M18" s="203" t="s">
        <v>23</v>
      </c>
      <c r="N18" s="206"/>
      <c r="O18" s="206"/>
      <c r="P18" s="206"/>
      <c r="Q18" s="206"/>
      <c r="R18" s="206"/>
      <c r="S18" s="203" t="s">
        <v>449</v>
      </c>
      <c r="T18" s="206"/>
    </row>
    <row r="19" spans="1:20" s="202" customFormat="1" ht="150.75" customHeight="1">
      <c r="A19" s="203" t="s">
        <v>450</v>
      </c>
      <c r="B19" s="206" t="s">
        <v>369</v>
      </c>
      <c r="C19" s="203" t="s">
        <v>451</v>
      </c>
      <c r="D19" s="203" t="s">
        <v>452</v>
      </c>
      <c r="E19" s="203" t="s">
        <v>453</v>
      </c>
      <c r="F19" s="220"/>
      <c r="G19" s="205" t="s">
        <v>454</v>
      </c>
      <c r="H19" s="203" t="s">
        <v>455</v>
      </c>
      <c r="I19" s="215">
        <v>1</v>
      </c>
      <c r="J19" s="42">
        <f t="shared" si="0"/>
        <v>5</v>
      </c>
      <c r="K19" s="215">
        <v>40</v>
      </c>
      <c r="L19" s="206"/>
      <c r="M19" s="203" t="s">
        <v>23</v>
      </c>
      <c r="N19" s="206"/>
      <c r="O19" s="206"/>
      <c r="P19" s="206"/>
      <c r="Q19" s="206"/>
      <c r="R19" s="206"/>
      <c r="S19" s="206" t="s">
        <v>421</v>
      </c>
      <c r="T19" s="206" t="s">
        <v>456</v>
      </c>
    </row>
    <row r="20" spans="1:20" ht="239.25" customHeight="1">
      <c r="A20" s="203" t="s">
        <v>457</v>
      </c>
      <c r="B20" s="206" t="s">
        <v>369</v>
      </c>
      <c r="C20" s="203" t="s">
        <v>451</v>
      </c>
      <c r="D20" s="203" t="s">
        <v>458</v>
      </c>
      <c r="E20" s="203" t="s">
        <v>459</v>
      </c>
      <c r="F20" s="363"/>
      <c r="G20" s="207" t="s">
        <v>460</v>
      </c>
      <c r="H20" s="203" t="s">
        <v>461</v>
      </c>
      <c r="I20" s="215">
        <v>1</v>
      </c>
      <c r="J20" s="42">
        <f t="shared" si="0"/>
        <v>5</v>
      </c>
      <c r="K20" s="215">
        <v>40</v>
      </c>
      <c r="L20" s="191"/>
      <c r="M20" s="203" t="s">
        <v>23</v>
      </c>
      <c r="N20" s="191"/>
      <c r="O20" s="191"/>
      <c r="P20" s="191"/>
      <c r="Q20" s="191"/>
      <c r="R20" s="191"/>
      <c r="S20" s="191" t="s">
        <v>421</v>
      </c>
      <c r="T20" s="191"/>
    </row>
    <row r="21" spans="1:20" ht="170.25" customHeight="1">
      <c r="A21" s="203" t="s">
        <v>462</v>
      </c>
      <c r="B21" s="206" t="s">
        <v>369</v>
      </c>
      <c r="C21" s="203" t="s">
        <v>451</v>
      </c>
      <c r="D21" s="203" t="s">
        <v>463</v>
      </c>
      <c r="E21" s="203" t="s">
        <v>464</v>
      </c>
      <c r="F21" s="363"/>
      <c r="G21" s="207" t="s">
        <v>465</v>
      </c>
      <c r="H21" s="203" t="s">
        <v>466</v>
      </c>
      <c r="I21" s="215">
        <v>1</v>
      </c>
      <c r="J21" s="42">
        <f t="shared" si="0"/>
        <v>2</v>
      </c>
      <c r="K21" s="215">
        <v>16</v>
      </c>
      <c r="L21" s="191"/>
      <c r="M21" s="203" t="s">
        <v>23</v>
      </c>
      <c r="N21" s="191"/>
      <c r="O21" s="191"/>
      <c r="P21" s="191"/>
      <c r="Q21" s="191"/>
      <c r="R21" s="191"/>
      <c r="S21" s="191" t="s">
        <v>421</v>
      </c>
      <c r="T21" s="191"/>
    </row>
    <row r="22" spans="1:20" ht="86.45">
      <c r="A22" s="203" t="s">
        <v>467</v>
      </c>
      <c r="B22" s="206" t="s">
        <v>369</v>
      </c>
      <c r="C22" s="203" t="s">
        <v>451</v>
      </c>
      <c r="D22" s="203" t="s">
        <v>468</v>
      </c>
      <c r="E22" s="208" t="s">
        <v>469</v>
      </c>
      <c r="F22" s="363"/>
      <c r="G22" s="209" t="s">
        <v>470</v>
      </c>
      <c r="H22" s="208" t="s">
        <v>471</v>
      </c>
      <c r="I22" s="215">
        <v>1</v>
      </c>
      <c r="J22" s="42">
        <f t="shared" si="0"/>
        <v>2</v>
      </c>
      <c r="K22" s="215">
        <v>16</v>
      </c>
      <c r="L22" s="191"/>
      <c r="M22" s="203" t="s">
        <v>23</v>
      </c>
      <c r="N22" s="191"/>
      <c r="O22" s="191"/>
      <c r="P22" s="191"/>
      <c r="Q22" s="191"/>
      <c r="R22" s="191"/>
      <c r="S22" s="191" t="s">
        <v>421</v>
      </c>
      <c r="T22" s="191"/>
    </row>
    <row r="23" spans="1:20" ht="100.9">
      <c r="A23" s="203" t="s">
        <v>472</v>
      </c>
      <c r="B23" s="206" t="s">
        <v>369</v>
      </c>
      <c r="C23" s="203" t="s">
        <v>451</v>
      </c>
      <c r="D23" s="203" t="s">
        <v>473</v>
      </c>
      <c r="E23" s="208" t="s">
        <v>474</v>
      </c>
      <c r="F23" s="363"/>
      <c r="G23" s="209" t="s">
        <v>475</v>
      </c>
      <c r="H23" s="208" t="s">
        <v>476</v>
      </c>
      <c r="I23" s="215">
        <v>1</v>
      </c>
      <c r="J23" s="42">
        <f t="shared" si="0"/>
        <v>2</v>
      </c>
      <c r="K23" s="215">
        <v>16</v>
      </c>
      <c r="L23" s="191"/>
      <c r="M23" s="203" t="s">
        <v>23</v>
      </c>
      <c r="N23" s="191"/>
      <c r="O23" s="191"/>
      <c r="P23" s="191"/>
      <c r="Q23" s="191"/>
      <c r="R23" s="191"/>
      <c r="S23" s="191" t="s">
        <v>421</v>
      </c>
      <c r="T23" s="191"/>
    </row>
    <row r="24" spans="1:20" ht="180.75" customHeight="1">
      <c r="A24" s="203" t="s">
        <v>477</v>
      </c>
      <c r="B24" s="206" t="s">
        <v>369</v>
      </c>
      <c r="C24" s="203" t="s">
        <v>478</v>
      </c>
      <c r="D24" s="203" t="s">
        <v>479</v>
      </c>
      <c r="E24" s="203" t="s">
        <v>480</v>
      </c>
      <c r="F24" s="220"/>
      <c r="G24" s="203" t="s">
        <v>481</v>
      </c>
      <c r="H24" s="203" t="s">
        <v>482</v>
      </c>
      <c r="I24" s="215">
        <v>1</v>
      </c>
      <c r="J24" s="42">
        <f t="shared" si="0"/>
        <v>4</v>
      </c>
      <c r="K24" s="215">
        <v>32</v>
      </c>
      <c r="L24" s="191"/>
      <c r="M24" s="203" t="s">
        <v>23</v>
      </c>
      <c r="N24" s="191"/>
      <c r="O24" s="191"/>
      <c r="P24" s="191"/>
      <c r="Q24" s="191"/>
      <c r="R24" s="191"/>
      <c r="S24" s="191" t="s">
        <v>421</v>
      </c>
      <c r="T24" s="191"/>
    </row>
    <row r="25" spans="1:20" s="202" customFormat="1" ht="173.25" customHeight="1">
      <c r="A25" s="203" t="s">
        <v>483</v>
      </c>
      <c r="B25" s="206" t="s">
        <v>369</v>
      </c>
      <c r="C25" s="203" t="s">
        <v>478</v>
      </c>
      <c r="D25" s="203" t="s">
        <v>484</v>
      </c>
      <c r="E25" s="203" t="s">
        <v>485</v>
      </c>
      <c r="F25" s="220"/>
      <c r="G25" s="207" t="s">
        <v>486</v>
      </c>
      <c r="H25" s="203" t="s">
        <v>487</v>
      </c>
      <c r="I25" s="215">
        <v>1</v>
      </c>
      <c r="J25" s="42">
        <f t="shared" si="0"/>
        <v>3</v>
      </c>
      <c r="K25" s="215">
        <v>24</v>
      </c>
      <c r="L25" s="206"/>
      <c r="M25" s="203" t="s">
        <v>23</v>
      </c>
      <c r="N25" s="206"/>
      <c r="O25" s="206"/>
      <c r="P25" s="206"/>
      <c r="Q25" s="206"/>
      <c r="R25" s="206"/>
      <c r="S25" s="191" t="s">
        <v>421</v>
      </c>
      <c r="T25" s="206"/>
    </row>
    <row r="26" spans="1:20" ht="116.25" customHeight="1">
      <c r="A26" s="203" t="s">
        <v>488</v>
      </c>
      <c r="B26" s="206" t="s">
        <v>369</v>
      </c>
      <c r="C26" s="203" t="s">
        <v>478</v>
      </c>
      <c r="D26" s="203" t="s">
        <v>489</v>
      </c>
      <c r="E26" s="210" t="s">
        <v>490</v>
      </c>
      <c r="F26" s="220"/>
      <c r="G26" s="205" t="s">
        <v>491</v>
      </c>
      <c r="H26" s="203" t="s">
        <v>492</v>
      </c>
      <c r="I26" s="215">
        <v>1</v>
      </c>
      <c r="J26" s="42">
        <f t="shared" si="0"/>
        <v>3</v>
      </c>
      <c r="K26" s="215">
        <v>24</v>
      </c>
      <c r="L26" s="191"/>
      <c r="M26" s="203" t="s">
        <v>23</v>
      </c>
      <c r="N26" s="191"/>
      <c r="O26" s="191"/>
      <c r="P26" s="191"/>
      <c r="Q26" s="191"/>
      <c r="R26" s="191"/>
      <c r="S26" s="191" t="s">
        <v>421</v>
      </c>
      <c r="T26" s="191"/>
    </row>
    <row r="27" spans="1:20" s="202" customFormat="1" ht="93" customHeight="1">
      <c r="A27" s="203" t="s">
        <v>493</v>
      </c>
      <c r="B27" s="206" t="s">
        <v>369</v>
      </c>
      <c r="C27" s="203" t="s">
        <v>478</v>
      </c>
      <c r="D27" s="203" t="s">
        <v>494</v>
      </c>
      <c r="E27" s="210" t="s">
        <v>495</v>
      </c>
      <c r="F27" s="223"/>
      <c r="G27" s="205" t="s">
        <v>496</v>
      </c>
      <c r="H27" s="203" t="s">
        <v>497</v>
      </c>
      <c r="I27" s="215">
        <v>1</v>
      </c>
      <c r="J27" s="42">
        <f t="shared" si="0"/>
        <v>3</v>
      </c>
      <c r="K27" s="215">
        <v>24</v>
      </c>
      <c r="L27" s="206"/>
      <c r="M27" s="203" t="s">
        <v>23</v>
      </c>
      <c r="N27" s="206"/>
      <c r="O27" s="206"/>
      <c r="P27" s="206"/>
      <c r="Q27" s="206"/>
      <c r="R27" s="206"/>
      <c r="S27" s="191" t="s">
        <v>421</v>
      </c>
      <c r="T27" s="206"/>
    </row>
    <row r="28" spans="1:20" s="202" customFormat="1" ht="33.75" hidden="1" customHeight="1">
      <c r="A28" s="533" t="s">
        <v>498</v>
      </c>
      <c r="B28" s="534"/>
      <c r="C28" s="534"/>
      <c r="D28" s="534"/>
      <c r="E28" s="534"/>
      <c r="F28" s="534"/>
      <c r="G28" s="534"/>
      <c r="H28" s="534"/>
      <c r="I28" s="534"/>
      <c r="J28" s="534"/>
      <c r="K28" s="534"/>
      <c r="L28" s="534"/>
      <c r="M28" s="534"/>
      <c r="N28" s="534"/>
      <c r="O28" s="534"/>
      <c r="P28" s="534"/>
      <c r="Q28" s="534"/>
      <c r="R28" s="534"/>
      <c r="S28" s="534"/>
      <c r="T28" s="535"/>
    </row>
    <row r="29" spans="1:20" ht="388.9">
      <c r="A29" s="203" t="s">
        <v>499</v>
      </c>
      <c r="B29" s="206" t="s">
        <v>500</v>
      </c>
      <c r="C29" s="206" t="s">
        <v>501</v>
      </c>
      <c r="D29" s="203" t="s">
        <v>502</v>
      </c>
      <c r="E29" s="203" t="s">
        <v>503</v>
      </c>
      <c r="F29" s="220"/>
      <c r="G29" s="205" t="s">
        <v>504</v>
      </c>
      <c r="H29" s="203" t="s">
        <v>505</v>
      </c>
      <c r="I29" s="215">
        <v>2</v>
      </c>
      <c r="J29" s="528">
        <f>K29/8</f>
        <v>10</v>
      </c>
      <c r="K29" s="528">
        <v>80</v>
      </c>
      <c r="L29" s="191"/>
      <c r="M29" s="203" t="s">
        <v>23</v>
      </c>
      <c r="N29" s="191"/>
      <c r="O29" s="191"/>
      <c r="P29" s="191"/>
      <c r="Q29" s="191"/>
      <c r="R29" s="191"/>
      <c r="S29" s="191"/>
      <c r="T29" s="191"/>
    </row>
    <row r="30" spans="1:20" ht="282.75" customHeight="1">
      <c r="A30" s="203" t="s">
        <v>506</v>
      </c>
      <c r="B30" s="191" t="s">
        <v>507</v>
      </c>
      <c r="C30" s="191" t="s">
        <v>501</v>
      </c>
      <c r="D30" s="208" t="s">
        <v>508</v>
      </c>
      <c r="E30" s="208" t="s">
        <v>509</v>
      </c>
      <c r="F30" s="363"/>
      <c r="G30" s="209" t="s">
        <v>510</v>
      </c>
      <c r="H30" s="208" t="s">
        <v>511</v>
      </c>
      <c r="I30" s="215">
        <v>2</v>
      </c>
      <c r="J30" s="529"/>
      <c r="K30" s="529"/>
      <c r="L30" s="191"/>
      <c r="M30" s="203" t="s">
        <v>23</v>
      </c>
      <c r="N30" s="191"/>
      <c r="O30" s="191"/>
      <c r="P30" s="191"/>
      <c r="Q30" s="191"/>
      <c r="R30" s="191"/>
      <c r="S30" s="191"/>
      <c r="T30" s="191"/>
    </row>
    <row r="31" spans="1:20" ht="358.5" customHeight="1">
      <c r="A31" s="203" t="s">
        <v>512</v>
      </c>
      <c r="B31" s="191" t="s">
        <v>507</v>
      </c>
      <c r="C31" s="191" t="s">
        <v>501</v>
      </c>
      <c r="D31" s="211" t="s">
        <v>513</v>
      </c>
      <c r="E31" s="211" t="s">
        <v>514</v>
      </c>
      <c r="F31" s="363"/>
      <c r="G31" s="209" t="s">
        <v>515</v>
      </c>
      <c r="H31" s="208" t="s">
        <v>516</v>
      </c>
      <c r="I31" s="215">
        <v>2</v>
      </c>
      <c r="J31" s="530"/>
      <c r="K31" s="530"/>
      <c r="L31" s="191"/>
      <c r="M31" s="203" t="s">
        <v>23</v>
      </c>
      <c r="N31" s="191"/>
      <c r="O31" s="191"/>
      <c r="P31" s="191"/>
      <c r="Q31" s="191"/>
      <c r="R31" s="191"/>
      <c r="S31" s="191"/>
      <c r="T31" s="191"/>
    </row>
    <row r="32" spans="1:20" ht="174">
      <c r="A32" s="203" t="s">
        <v>517</v>
      </c>
      <c r="B32" s="191" t="s">
        <v>507</v>
      </c>
      <c r="C32" s="191" t="s">
        <v>501</v>
      </c>
      <c r="D32" s="211" t="s">
        <v>518</v>
      </c>
      <c r="E32" s="208" t="s">
        <v>519</v>
      </c>
      <c r="F32" s="363"/>
      <c r="G32" s="209" t="s">
        <v>520</v>
      </c>
      <c r="H32" s="208" t="s">
        <v>521</v>
      </c>
      <c r="I32" s="215">
        <v>2</v>
      </c>
      <c r="J32" s="191">
        <f>K32/8</f>
        <v>5</v>
      </c>
      <c r="K32" s="191">
        <v>40</v>
      </c>
      <c r="L32" s="191"/>
      <c r="M32" s="203" t="s">
        <v>23</v>
      </c>
      <c r="N32" s="191"/>
      <c r="O32" s="191"/>
      <c r="P32" s="191"/>
      <c r="Q32" s="191"/>
      <c r="R32" s="191"/>
      <c r="S32" s="191"/>
      <c r="T32" s="191"/>
    </row>
    <row r="33" spans="1:20" ht="186" customHeight="1">
      <c r="A33" s="203" t="s">
        <v>522</v>
      </c>
      <c r="B33" s="191" t="s">
        <v>507</v>
      </c>
      <c r="C33" s="191" t="s">
        <v>501</v>
      </c>
      <c r="D33" s="211" t="s">
        <v>523</v>
      </c>
      <c r="E33" s="208" t="s">
        <v>524</v>
      </c>
      <c r="F33" s="363"/>
      <c r="G33" s="209" t="s">
        <v>525</v>
      </c>
      <c r="H33" s="208" t="s">
        <v>526</v>
      </c>
      <c r="I33" s="215">
        <v>2</v>
      </c>
      <c r="J33" s="191">
        <f t="shared" ref="J33:J35" si="1">K33/8</f>
        <v>5</v>
      </c>
      <c r="K33" s="191">
        <v>40</v>
      </c>
      <c r="L33" s="191"/>
      <c r="M33" s="203" t="s">
        <v>23</v>
      </c>
      <c r="N33" s="191"/>
      <c r="O33" s="191"/>
      <c r="P33" s="191"/>
      <c r="Q33" s="191"/>
      <c r="R33" s="191"/>
      <c r="S33" s="191" t="s">
        <v>245</v>
      </c>
      <c r="T33" s="191"/>
    </row>
    <row r="34" spans="1:20" ht="196.5" customHeight="1">
      <c r="A34" s="203" t="s">
        <v>527</v>
      </c>
      <c r="B34" s="191" t="s">
        <v>507</v>
      </c>
      <c r="C34" s="191" t="s">
        <v>501</v>
      </c>
      <c r="D34" s="211" t="s">
        <v>528</v>
      </c>
      <c r="E34" s="211" t="s">
        <v>529</v>
      </c>
      <c r="F34" s="363"/>
      <c r="G34" s="209" t="s">
        <v>530</v>
      </c>
      <c r="H34" s="208" t="s">
        <v>531</v>
      </c>
      <c r="I34" s="215">
        <v>2</v>
      </c>
      <c r="J34" s="191">
        <f t="shared" si="1"/>
        <v>3</v>
      </c>
      <c r="K34" s="191">
        <v>24</v>
      </c>
      <c r="L34" s="191"/>
      <c r="M34" s="203" t="s">
        <v>23</v>
      </c>
      <c r="N34" s="191"/>
      <c r="O34" s="191"/>
      <c r="P34" s="191"/>
      <c r="Q34" s="191"/>
      <c r="R34" s="191"/>
      <c r="S34" s="191"/>
      <c r="T34" s="191"/>
    </row>
    <row r="35" spans="1:20" ht="86.45">
      <c r="A35" s="203" t="s">
        <v>532</v>
      </c>
      <c r="B35" s="191" t="s">
        <v>507</v>
      </c>
      <c r="C35" s="191" t="s">
        <v>501</v>
      </c>
      <c r="D35" s="211" t="s">
        <v>533</v>
      </c>
      <c r="E35" s="208" t="s">
        <v>534</v>
      </c>
      <c r="F35" s="363"/>
      <c r="G35" s="209" t="s">
        <v>535</v>
      </c>
      <c r="H35" s="208" t="s">
        <v>536</v>
      </c>
      <c r="I35" s="215">
        <v>2</v>
      </c>
      <c r="J35" s="191">
        <f t="shared" si="1"/>
        <v>1</v>
      </c>
      <c r="K35" s="191">
        <v>8</v>
      </c>
      <c r="L35" s="191"/>
      <c r="M35" s="203" t="s">
        <v>23</v>
      </c>
      <c r="N35" s="191"/>
      <c r="O35" s="191"/>
      <c r="P35" s="191"/>
      <c r="Q35" s="191"/>
      <c r="R35" s="191"/>
      <c r="S35" s="191"/>
      <c r="T35" s="191"/>
    </row>
    <row r="36" spans="1:20" s="202" customFormat="1" ht="249.75" hidden="1" customHeight="1">
      <c r="A36" s="226" t="s">
        <v>537</v>
      </c>
      <c r="B36" s="234" t="s">
        <v>538</v>
      </c>
      <c r="C36" s="364" t="s">
        <v>539</v>
      </c>
      <c r="D36" s="234" t="s">
        <v>540</v>
      </c>
      <c r="E36" s="365" t="s">
        <v>541</v>
      </c>
      <c r="F36" s="206"/>
      <c r="G36" s="366" t="s">
        <v>542</v>
      </c>
      <c r="H36" s="226" t="s">
        <v>543</v>
      </c>
      <c r="I36" s="368">
        <v>2</v>
      </c>
      <c r="J36" s="234"/>
      <c r="K36" s="234"/>
      <c r="L36" s="234"/>
      <c r="M36" s="234"/>
      <c r="N36" s="234"/>
      <c r="O36" s="234"/>
      <c r="P36" s="234"/>
      <c r="Q36" s="234"/>
      <c r="R36" s="234"/>
      <c r="S36" s="234"/>
      <c r="T36" s="234"/>
    </row>
    <row r="37" spans="1:20" ht="115.15" hidden="1">
      <c r="A37" s="203" t="s">
        <v>544</v>
      </c>
      <c r="B37" s="206" t="s">
        <v>538</v>
      </c>
      <c r="C37" s="206" t="s">
        <v>539</v>
      </c>
      <c r="D37" t="s">
        <v>545</v>
      </c>
      <c r="E37" s="208" t="s">
        <v>546</v>
      </c>
      <c r="F37" s="191"/>
      <c r="G37" s="209" t="s">
        <v>547</v>
      </c>
      <c r="H37" s="208" t="s">
        <v>548</v>
      </c>
      <c r="I37" s="215">
        <v>2</v>
      </c>
      <c r="J37" s="191"/>
      <c r="K37" s="191"/>
      <c r="L37" s="191"/>
      <c r="M37" s="191"/>
      <c r="N37" s="191"/>
      <c r="O37" s="191"/>
      <c r="P37" s="191"/>
      <c r="Q37" s="191"/>
      <c r="R37" s="191"/>
      <c r="S37" s="191"/>
      <c r="T37" s="191"/>
    </row>
    <row r="38" spans="1:20" ht="201.6" hidden="1">
      <c r="A38" s="203" t="s">
        <v>549</v>
      </c>
      <c r="B38" s="208" t="s">
        <v>550</v>
      </c>
      <c r="C38" s="206" t="s">
        <v>539</v>
      </c>
      <c r="D38" t="s">
        <v>551</v>
      </c>
      <c r="E38" s="208" t="s">
        <v>552</v>
      </c>
      <c r="F38" s="191"/>
      <c r="G38" s="209" t="s">
        <v>553</v>
      </c>
      <c r="H38" s="208" t="s">
        <v>554</v>
      </c>
      <c r="I38" s="215">
        <v>2</v>
      </c>
      <c r="J38" s="191"/>
      <c r="K38" s="191"/>
      <c r="L38" s="191"/>
      <c r="M38" s="191"/>
      <c r="N38" s="191"/>
      <c r="O38" s="191"/>
      <c r="P38" s="191"/>
      <c r="Q38" s="191"/>
      <c r="R38" s="191"/>
      <c r="S38" s="191"/>
      <c r="T38" s="191"/>
    </row>
    <row r="39" spans="1:20" ht="182.25" hidden="1" customHeight="1">
      <c r="A39" s="203" t="s">
        <v>555</v>
      </c>
      <c r="B39" s="208" t="s">
        <v>550</v>
      </c>
      <c r="C39" s="206" t="s">
        <v>539</v>
      </c>
      <c r="D39" t="s">
        <v>556</v>
      </c>
      <c r="E39" s="208" t="s">
        <v>557</v>
      </c>
      <c r="F39" s="191"/>
      <c r="G39" s="209" t="s">
        <v>558</v>
      </c>
      <c r="H39" s="208" t="s">
        <v>559</v>
      </c>
      <c r="I39" s="215">
        <v>2</v>
      </c>
      <c r="J39" s="191"/>
      <c r="K39" s="191"/>
      <c r="L39" s="191"/>
      <c r="M39" s="191"/>
      <c r="N39" s="191"/>
      <c r="O39" s="191"/>
      <c r="P39" s="191"/>
      <c r="Q39" s="191"/>
      <c r="R39" s="191"/>
      <c r="S39" s="191"/>
      <c r="T39" s="191"/>
    </row>
    <row r="40" spans="1:20" ht="374.45" hidden="1">
      <c r="A40" s="203" t="s">
        <v>560</v>
      </c>
      <c r="B40" s="191" t="s">
        <v>561</v>
      </c>
      <c r="C40" s="206" t="s">
        <v>539</v>
      </c>
      <c r="D40" t="s">
        <v>562</v>
      </c>
      <c r="E40" s="208" t="s">
        <v>563</v>
      </c>
      <c r="F40" s="191"/>
      <c r="G40" s="209" t="s">
        <v>564</v>
      </c>
      <c r="H40" s="208" t="s">
        <v>565</v>
      </c>
      <c r="I40" s="215"/>
      <c r="J40" s="191"/>
      <c r="K40" s="191"/>
      <c r="L40" s="191"/>
      <c r="M40" s="191"/>
      <c r="N40" s="191"/>
      <c r="O40" s="191"/>
      <c r="P40" s="191"/>
      <c r="Q40" s="191"/>
      <c r="R40" s="191"/>
      <c r="S40" s="191"/>
      <c r="T40" s="191"/>
    </row>
    <row r="41" spans="1:20" ht="273.60000000000002" hidden="1">
      <c r="A41" s="203" t="s">
        <v>566</v>
      </c>
      <c r="B41" s="191" t="s">
        <v>561</v>
      </c>
      <c r="C41" s="206" t="s">
        <v>539</v>
      </c>
      <c r="D41" t="s">
        <v>567</v>
      </c>
      <c r="E41" s="208" t="s">
        <v>568</v>
      </c>
      <c r="F41" s="191"/>
      <c r="G41" s="209" t="s">
        <v>569</v>
      </c>
      <c r="H41" s="208" t="s">
        <v>570</v>
      </c>
      <c r="I41" s="215"/>
      <c r="J41" s="191"/>
      <c r="K41" s="191"/>
      <c r="L41" s="191"/>
      <c r="M41" s="191"/>
      <c r="N41" s="191"/>
      <c r="O41" s="191"/>
      <c r="P41" s="191"/>
      <c r="Q41" s="191"/>
      <c r="R41" s="191"/>
      <c r="S41" s="191"/>
      <c r="T41" s="191"/>
    </row>
    <row r="42" spans="1:20" ht="273.60000000000002" hidden="1">
      <c r="A42" s="203" t="s">
        <v>571</v>
      </c>
      <c r="B42" s="191" t="s">
        <v>561</v>
      </c>
      <c r="C42" s="206" t="s">
        <v>539</v>
      </c>
      <c r="D42" t="s">
        <v>572</v>
      </c>
      <c r="E42" s="208" t="s">
        <v>573</v>
      </c>
      <c r="F42" s="191"/>
      <c r="G42" s="209" t="s">
        <v>574</v>
      </c>
      <c r="H42" s="208" t="s">
        <v>575</v>
      </c>
      <c r="I42" s="215"/>
      <c r="J42" s="191"/>
      <c r="K42" s="191"/>
      <c r="L42" s="191"/>
      <c r="M42" s="191"/>
      <c r="N42" s="191"/>
      <c r="O42" s="191"/>
      <c r="P42" s="191"/>
      <c r="Q42" s="191"/>
      <c r="R42" s="191"/>
      <c r="S42" s="191"/>
      <c r="T42" s="191"/>
    </row>
    <row r="43" spans="1:20" ht="200.25" hidden="1" customHeight="1">
      <c r="A43" s="203" t="s">
        <v>576</v>
      </c>
      <c r="B43" s="221" t="s">
        <v>577</v>
      </c>
      <c r="C43" s="214" t="s">
        <v>539</v>
      </c>
      <c r="D43" s="191" t="s">
        <v>578</v>
      </c>
      <c r="E43" s="217" t="s">
        <v>579</v>
      </c>
      <c r="F43" s="191"/>
      <c r="G43" s="209" t="s">
        <v>580</v>
      </c>
      <c r="H43" s="208" t="s">
        <v>581</v>
      </c>
      <c r="I43" s="215"/>
      <c r="J43" s="191"/>
      <c r="K43" s="191"/>
      <c r="L43" s="191"/>
      <c r="M43" s="191"/>
      <c r="N43" s="191"/>
      <c r="O43" s="191"/>
      <c r="P43" s="191"/>
      <c r="Q43" s="191"/>
      <c r="R43" s="191"/>
      <c r="S43" s="191"/>
      <c r="T43" s="191"/>
    </row>
    <row r="44" spans="1:20" ht="179.25" hidden="1" customHeight="1">
      <c r="A44" s="219" t="s">
        <v>582</v>
      </c>
      <c r="B44" s="208" t="s">
        <v>577</v>
      </c>
      <c r="C44" s="220" t="s">
        <v>539</v>
      </c>
      <c r="D44" s="191" t="s">
        <v>583</v>
      </c>
      <c r="E44" s="217" t="s">
        <v>584</v>
      </c>
      <c r="F44" s="191"/>
      <c r="G44" s="209" t="s">
        <v>585</v>
      </c>
      <c r="H44" s="208" t="s">
        <v>586</v>
      </c>
      <c r="I44" s="215"/>
      <c r="J44" s="191"/>
      <c r="K44" s="191"/>
      <c r="L44" s="191"/>
      <c r="M44" s="191"/>
      <c r="N44" s="191"/>
      <c r="O44" s="191"/>
      <c r="P44" s="191"/>
      <c r="Q44" s="191"/>
      <c r="R44" s="191"/>
      <c r="S44" s="191"/>
      <c r="T44" s="191"/>
    </row>
    <row r="45" spans="1:20" ht="186.75" hidden="1" customHeight="1">
      <c r="A45" s="219" t="s">
        <v>587</v>
      </c>
      <c r="B45" s="221" t="s">
        <v>577</v>
      </c>
      <c r="C45" s="223" t="s">
        <v>539</v>
      </c>
      <c r="D45" s="224" t="s">
        <v>588</v>
      </c>
      <c r="E45" s="225" t="s">
        <v>589</v>
      </c>
      <c r="F45" s="191"/>
      <c r="G45" s="209" t="s">
        <v>590</v>
      </c>
      <c r="H45" s="208" t="s">
        <v>591</v>
      </c>
      <c r="I45" s="215"/>
      <c r="J45" s="191"/>
      <c r="K45" s="191"/>
      <c r="L45" s="191"/>
      <c r="M45" s="191"/>
      <c r="N45" s="191"/>
      <c r="O45" s="191"/>
      <c r="P45" s="191"/>
      <c r="Q45" s="191"/>
      <c r="R45" s="191"/>
      <c r="S45" s="191"/>
      <c r="T45" s="191"/>
    </row>
    <row r="46" spans="1:20" ht="360" hidden="1">
      <c r="A46" s="219" t="s">
        <v>592</v>
      </c>
      <c r="B46" s="206" t="s">
        <v>593</v>
      </c>
      <c r="C46" s="206" t="s">
        <v>539</v>
      </c>
      <c r="D46" s="206" t="s">
        <v>594</v>
      </c>
      <c r="E46" s="203" t="s">
        <v>595</v>
      </c>
      <c r="F46" s="222"/>
      <c r="G46" s="205" t="s">
        <v>596</v>
      </c>
      <c r="H46" s="203" t="s">
        <v>597</v>
      </c>
      <c r="I46" s="215"/>
      <c r="J46" s="191"/>
      <c r="K46" s="191"/>
      <c r="L46" s="191"/>
      <c r="M46" s="191"/>
      <c r="N46" s="191"/>
      <c r="O46" s="191"/>
      <c r="P46" s="191"/>
      <c r="Q46" s="191"/>
      <c r="R46" s="191"/>
      <c r="S46" s="191"/>
      <c r="T46" s="191"/>
    </row>
    <row r="47" spans="1:20" ht="400.5" hidden="1" customHeight="1">
      <c r="A47" s="203" t="s">
        <v>598</v>
      </c>
      <c r="B47" s="206" t="s">
        <v>593</v>
      </c>
      <c r="C47" s="206" t="s">
        <v>539</v>
      </c>
      <c r="D47" s="202" t="s">
        <v>599</v>
      </c>
      <c r="E47" s="226" t="s">
        <v>600</v>
      </c>
      <c r="F47" s="206"/>
      <c r="G47" s="205" t="s">
        <v>601</v>
      </c>
      <c r="H47" s="203" t="s">
        <v>602</v>
      </c>
      <c r="I47" s="215"/>
      <c r="J47" s="191"/>
      <c r="K47" s="191"/>
      <c r="L47" s="191"/>
      <c r="M47" s="191"/>
      <c r="N47" s="191"/>
      <c r="O47" s="191"/>
      <c r="P47" s="191"/>
      <c r="Q47" s="191"/>
      <c r="R47" s="191"/>
      <c r="S47" s="191"/>
      <c r="T47" s="191"/>
    </row>
    <row r="48" spans="1:20" ht="345.6" hidden="1">
      <c r="A48" s="203" t="s">
        <v>603</v>
      </c>
      <c r="B48" s="206" t="s">
        <v>593</v>
      </c>
      <c r="C48" s="206" t="s">
        <v>539</v>
      </c>
      <c r="D48" s="202" t="s">
        <v>604</v>
      </c>
      <c r="E48" s="203" t="s">
        <v>605</v>
      </c>
      <c r="F48" s="206"/>
      <c r="G48" s="205" t="s">
        <v>606</v>
      </c>
      <c r="H48" s="203" t="s">
        <v>607</v>
      </c>
      <c r="I48" s="215"/>
      <c r="J48" s="191"/>
      <c r="K48" s="191"/>
      <c r="L48" s="191"/>
      <c r="M48" s="191"/>
      <c r="N48" s="191"/>
      <c r="O48" s="191"/>
      <c r="P48" s="191"/>
      <c r="Q48" s="191"/>
      <c r="R48" s="191"/>
      <c r="S48" s="191"/>
      <c r="T48" s="191"/>
    </row>
    <row r="49" spans="1:20" ht="360" hidden="1">
      <c r="A49" s="203" t="s">
        <v>608</v>
      </c>
      <c r="B49" s="191" t="s">
        <v>609</v>
      </c>
      <c r="C49" s="206" t="s">
        <v>539</v>
      </c>
      <c r="D49" t="s">
        <v>610</v>
      </c>
      <c r="E49" s="208" t="s">
        <v>611</v>
      </c>
      <c r="F49" s="191"/>
      <c r="G49" s="209" t="s">
        <v>612</v>
      </c>
      <c r="H49" s="208" t="s">
        <v>613</v>
      </c>
      <c r="I49" s="215"/>
      <c r="J49" s="191"/>
      <c r="K49" s="191"/>
      <c r="L49" s="191"/>
      <c r="M49" s="191"/>
      <c r="N49" s="191"/>
      <c r="O49" s="191"/>
      <c r="P49" s="191"/>
      <c r="Q49" s="191"/>
      <c r="R49" s="191"/>
      <c r="S49" s="191"/>
      <c r="T49" s="191"/>
    </row>
    <row r="50" spans="1:20" ht="288" hidden="1">
      <c r="A50" s="203" t="s">
        <v>614</v>
      </c>
      <c r="B50" s="191" t="s">
        <v>609</v>
      </c>
      <c r="C50" s="206" t="s">
        <v>539</v>
      </c>
      <c r="D50" t="s">
        <v>615</v>
      </c>
      <c r="E50" s="208" t="s">
        <v>616</v>
      </c>
      <c r="F50" s="191"/>
      <c r="G50" s="209" t="s">
        <v>617</v>
      </c>
      <c r="H50" s="208" t="s">
        <v>618</v>
      </c>
      <c r="I50" s="215"/>
      <c r="J50" s="191"/>
      <c r="K50" s="191"/>
      <c r="L50" s="191"/>
      <c r="M50" s="191"/>
      <c r="N50" s="191"/>
      <c r="O50" s="191"/>
      <c r="P50" s="191"/>
      <c r="Q50" s="191"/>
      <c r="R50" s="191"/>
      <c r="S50" s="191"/>
      <c r="T50" s="191"/>
    </row>
    <row r="51" spans="1:20" ht="345.6" hidden="1">
      <c r="A51" s="212" t="s">
        <v>619</v>
      </c>
      <c r="B51" s="224" t="s">
        <v>609</v>
      </c>
      <c r="C51" s="213" t="s">
        <v>539</v>
      </c>
      <c r="D51" t="s">
        <v>620</v>
      </c>
      <c r="E51" s="221" t="s">
        <v>621</v>
      </c>
      <c r="F51" s="191"/>
      <c r="G51" s="228" t="s">
        <v>622</v>
      </c>
      <c r="H51" s="221" t="s">
        <v>623</v>
      </c>
      <c r="I51" s="369"/>
      <c r="J51" s="224"/>
      <c r="K51" s="224"/>
      <c r="L51" s="224"/>
      <c r="M51" s="224"/>
      <c r="N51" s="224"/>
      <c r="O51" s="224"/>
      <c r="P51" s="224"/>
      <c r="Q51" s="224"/>
      <c r="R51" s="224"/>
      <c r="S51" s="224"/>
      <c r="T51" s="224"/>
    </row>
    <row r="52" spans="1:20" ht="234.75" customHeight="1">
      <c r="A52" s="203" t="s">
        <v>624</v>
      </c>
      <c r="B52" s="191" t="s">
        <v>625</v>
      </c>
      <c r="C52" s="191" t="s">
        <v>626</v>
      </c>
      <c r="D52" s="208" t="s">
        <v>627</v>
      </c>
      <c r="E52" s="208" t="s">
        <v>628</v>
      </c>
      <c r="F52" s="363"/>
      <c r="G52" s="209" t="s">
        <v>629</v>
      </c>
      <c r="H52" s="208" t="s">
        <v>630</v>
      </c>
      <c r="I52" s="215">
        <v>3</v>
      </c>
      <c r="J52" s="528">
        <f>K52/8</f>
        <v>10</v>
      </c>
      <c r="K52" s="528">
        <v>80</v>
      </c>
      <c r="L52" s="191"/>
      <c r="M52" s="203" t="s">
        <v>23</v>
      </c>
      <c r="N52" s="191"/>
      <c r="O52" s="191"/>
      <c r="P52" s="191"/>
      <c r="Q52" s="191"/>
      <c r="R52" s="191"/>
      <c r="S52" s="191" t="s">
        <v>245</v>
      </c>
      <c r="T52" s="191"/>
    </row>
    <row r="53" spans="1:20" ht="156.75" customHeight="1">
      <c r="A53" s="203" t="s">
        <v>631</v>
      </c>
      <c r="B53" s="191" t="s">
        <v>625</v>
      </c>
      <c r="C53" s="191" t="s">
        <v>626</v>
      </c>
      <c r="D53" s="208" t="s">
        <v>632</v>
      </c>
      <c r="E53" s="208" t="s">
        <v>633</v>
      </c>
      <c r="F53" s="363"/>
      <c r="G53" s="209" t="s">
        <v>634</v>
      </c>
      <c r="H53" s="208" t="s">
        <v>635</v>
      </c>
      <c r="I53" s="215">
        <v>3</v>
      </c>
      <c r="J53" s="529"/>
      <c r="K53" s="529"/>
      <c r="L53" s="191"/>
      <c r="M53" s="203" t="s">
        <v>23</v>
      </c>
      <c r="N53" s="191"/>
      <c r="O53" s="191"/>
      <c r="P53" s="191"/>
      <c r="Q53" s="191"/>
      <c r="R53" s="191"/>
      <c r="S53" s="191" t="s">
        <v>245</v>
      </c>
      <c r="T53" s="191"/>
    </row>
    <row r="54" spans="1:20" ht="195.75" customHeight="1">
      <c r="A54" s="203" t="s">
        <v>636</v>
      </c>
      <c r="B54" s="191" t="s">
        <v>625</v>
      </c>
      <c r="C54" s="191" t="s">
        <v>626</v>
      </c>
      <c r="D54" s="208" t="s">
        <v>637</v>
      </c>
      <c r="E54" s="208" t="s">
        <v>638</v>
      </c>
      <c r="F54" s="363"/>
      <c r="G54" s="209" t="s">
        <v>639</v>
      </c>
      <c r="H54" s="208" t="s">
        <v>640</v>
      </c>
      <c r="I54" s="215">
        <v>3</v>
      </c>
      <c r="J54" s="530"/>
      <c r="K54" s="530"/>
      <c r="L54" s="191"/>
      <c r="M54" s="203" t="s">
        <v>23</v>
      </c>
      <c r="N54" s="191"/>
      <c r="O54" s="191"/>
      <c r="P54" s="191"/>
      <c r="Q54" s="191"/>
      <c r="R54" s="191"/>
      <c r="S54" s="191" t="s">
        <v>245</v>
      </c>
      <c r="T54" s="191"/>
    </row>
    <row r="55" spans="1:20" ht="86.45" hidden="1">
      <c r="A55" s="226" t="s">
        <v>641</v>
      </c>
      <c r="B55" s="229" t="s">
        <v>642</v>
      </c>
      <c r="C55" s="234" t="s">
        <v>539</v>
      </c>
      <c r="D55" t="s">
        <v>643</v>
      </c>
      <c r="E55" s="229" t="s">
        <v>644</v>
      </c>
      <c r="F55" s="191"/>
      <c r="G55" s="231" t="s">
        <v>645</v>
      </c>
      <c r="H55" s="229" t="s">
        <v>646</v>
      </c>
      <c r="I55" s="368"/>
      <c r="J55" s="227"/>
      <c r="K55" s="227"/>
      <c r="L55" s="227"/>
      <c r="M55" s="227"/>
      <c r="N55" s="227"/>
      <c r="O55" s="227"/>
      <c r="P55" s="227"/>
      <c r="Q55" s="227"/>
      <c r="R55" s="227"/>
      <c r="S55" s="227"/>
      <c r="T55" s="227"/>
    </row>
    <row r="56" spans="1:20" ht="86.45" hidden="1">
      <c r="A56" s="203" t="s">
        <v>647</v>
      </c>
      <c r="B56" s="208" t="s">
        <v>642</v>
      </c>
      <c r="C56" s="206" t="s">
        <v>539</v>
      </c>
      <c r="D56" t="s">
        <v>643</v>
      </c>
      <c r="E56" s="208" t="s">
        <v>648</v>
      </c>
      <c r="F56" s="191"/>
      <c r="G56" s="209" t="s">
        <v>649</v>
      </c>
      <c r="H56" s="208" t="s">
        <v>650</v>
      </c>
      <c r="I56" s="215"/>
      <c r="J56" s="191"/>
      <c r="K56" s="191"/>
      <c r="L56" s="191"/>
      <c r="M56" s="191"/>
      <c r="N56" s="191"/>
      <c r="O56" s="191"/>
      <c r="P56" s="191"/>
      <c r="Q56" s="191"/>
      <c r="R56" s="191"/>
      <c r="S56" s="191"/>
      <c r="T56" s="191"/>
    </row>
    <row r="57" spans="1:20" ht="57.6" hidden="1">
      <c r="A57" s="203" t="s">
        <v>651</v>
      </c>
      <c r="B57" s="208" t="s">
        <v>642</v>
      </c>
      <c r="C57" s="206" t="s">
        <v>539</v>
      </c>
      <c r="D57" t="s">
        <v>643</v>
      </c>
      <c r="E57" s="208" t="s">
        <v>652</v>
      </c>
      <c r="F57" s="191"/>
      <c r="G57" s="209" t="s">
        <v>653</v>
      </c>
      <c r="H57" s="208" t="s">
        <v>654</v>
      </c>
      <c r="I57" s="215"/>
      <c r="J57" s="191"/>
      <c r="K57" s="191"/>
      <c r="L57" s="191"/>
      <c r="M57" s="191"/>
      <c r="N57" s="191"/>
      <c r="O57" s="191"/>
      <c r="P57" s="191"/>
      <c r="Q57" s="191"/>
      <c r="R57" s="191"/>
      <c r="S57" s="191"/>
      <c r="T57" s="191"/>
    </row>
    <row r="58" spans="1:20" ht="185.25" hidden="1" customHeight="1">
      <c r="A58" s="203" t="s">
        <v>655</v>
      </c>
      <c r="B58" s="208" t="s">
        <v>642</v>
      </c>
      <c r="C58" s="206" t="s">
        <v>539</v>
      </c>
      <c r="D58" t="s">
        <v>643</v>
      </c>
      <c r="E58" s="208" t="s">
        <v>656</v>
      </c>
      <c r="F58" s="191"/>
      <c r="G58" s="209" t="s">
        <v>657</v>
      </c>
      <c r="H58" s="208" t="s">
        <v>658</v>
      </c>
      <c r="I58" s="215"/>
      <c r="J58" s="191"/>
      <c r="K58" s="191"/>
      <c r="L58" s="191"/>
      <c r="M58" s="191"/>
      <c r="N58" s="191"/>
      <c r="O58" s="191"/>
      <c r="P58" s="191"/>
      <c r="Q58" s="191"/>
      <c r="R58" s="191"/>
      <c r="S58" s="191"/>
      <c r="T58" s="191"/>
    </row>
    <row r="59" spans="1:20" ht="106.5" hidden="1" customHeight="1">
      <c r="A59" s="203" t="s">
        <v>659</v>
      </c>
      <c r="B59" s="208" t="s">
        <v>642</v>
      </c>
      <c r="C59" s="206" t="s">
        <v>539</v>
      </c>
      <c r="D59" t="s">
        <v>643</v>
      </c>
      <c r="E59" s="208" t="s">
        <v>660</v>
      </c>
      <c r="F59" s="191"/>
      <c r="G59" s="209" t="s">
        <v>661</v>
      </c>
      <c r="H59" s="208" t="s">
        <v>662</v>
      </c>
      <c r="I59" s="215"/>
      <c r="J59" s="191"/>
      <c r="K59" s="191"/>
      <c r="L59" s="191"/>
      <c r="M59" s="191"/>
      <c r="N59" s="191"/>
      <c r="O59" s="191"/>
      <c r="P59" s="191"/>
      <c r="Q59" s="191"/>
      <c r="R59" s="191"/>
      <c r="S59" s="191"/>
      <c r="T59" s="191"/>
    </row>
    <row r="60" spans="1:20" ht="178.5" hidden="1" customHeight="1">
      <c r="A60" s="203" t="s">
        <v>663</v>
      </c>
      <c r="B60" s="208" t="s">
        <v>664</v>
      </c>
      <c r="C60" s="206" t="s">
        <v>539</v>
      </c>
      <c r="D60" t="s">
        <v>665</v>
      </c>
      <c r="E60" s="208" t="s">
        <v>666</v>
      </c>
      <c r="F60" s="191"/>
      <c r="G60" s="209" t="s">
        <v>667</v>
      </c>
      <c r="H60" s="208" t="s">
        <v>668</v>
      </c>
      <c r="I60" s="215"/>
      <c r="J60" s="191"/>
      <c r="K60" s="191"/>
      <c r="L60" s="191"/>
      <c r="M60" s="191"/>
      <c r="N60" s="191"/>
      <c r="O60" s="191"/>
      <c r="P60" s="191"/>
      <c r="Q60" s="191"/>
      <c r="R60" s="191"/>
      <c r="S60" s="191"/>
      <c r="T60" s="191"/>
    </row>
    <row r="61" spans="1:20" ht="111" hidden="1" customHeight="1">
      <c r="A61" s="203" t="s">
        <v>669</v>
      </c>
      <c r="B61" s="208" t="s">
        <v>664</v>
      </c>
      <c r="C61" s="206" t="s">
        <v>539</v>
      </c>
      <c r="D61" t="s">
        <v>665</v>
      </c>
      <c r="E61" s="208" t="s">
        <v>670</v>
      </c>
      <c r="F61" s="191"/>
      <c r="G61" s="209" t="s">
        <v>671</v>
      </c>
      <c r="H61" s="208" t="s">
        <v>672</v>
      </c>
      <c r="I61" s="215"/>
      <c r="J61" s="191"/>
      <c r="K61" s="191"/>
      <c r="L61" s="191"/>
      <c r="M61" s="191"/>
      <c r="N61" s="191"/>
      <c r="O61" s="191"/>
      <c r="P61" s="191"/>
      <c r="Q61" s="191"/>
      <c r="R61" s="191"/>
      <c r="S61" s="191"/>
      <c r="T61" s="191"/>
    </row>
    <row r="62" spans="1:20" ht="57.6" hidden="1">
      <c r="A62" s="203" t="s">
        <v>673</v>
      </c>
      <c r="B62" s="208" t="s">
        <v>664</v>
      </c>
      <c r="C62" s="206" t="s">
        <v>539</v>
      </c>
      <c r="D62" t="s">
        <v>665</v>
      </c>
      <c r="E62" s="208" t="s">
        <v>674</v>
      </c>
      <c r="F62" s="191"/>
      <c r="G62" s="209" t="s">
        <v>675</v>
      </c>
      <c r="H62" s="208" t="s">
        <v>654</v>
      </c>
      <c r="I62" s="215"/>
      <c r="J62" s="191"/>
      <c r="K62" s="191"/>
      <c r="L62" s="191"/>
      <c r="M62" s="191"/>
      <c r="N62" s="191"/>
      <c r="O62" s="191"/>
      <c r="P62" s="191"/>
      <c r="Q62" s="191"/>
      <c r="R62" s="191"/>
      <c r="S62" s="191"/>
      <c r="T62" s="191"/>
    </row>
    <row r="63" spans="1:20" ht="167.25" hidden="1" customHeight="1">
      <c r="A63" s="203" t="s">
        <v>676</v>
      </c>
      <c r="B63" s="208" t="s">
        <v>664</v>
      </c>
      <c r="C63" s="206" t="s">
        <v>539</v>
      </c>
      <c r="D63" t="s">
        <v>665</v>
      </c>
      <c r="E63" s="208" t="s">
        <v>677</v>
      </c>
      <c r="F63" s="191"/>
      <c r="G63" s="209" t="s">
        <v>678</v>
      </c>
      <c r="H63" s="208" t="s">
        <v>679</v>
      </c>
      <c r="I63" s="215"/>
      <c r="J63" s="191"/>
      <c r="K63" s="191"/>
      <c r="L63" s="191"/>
      <c r="M63" s="191"/>
      <c r="N63" s="191"/>
      <c r="O63" s="191"/>
      <c r="P63" s="191"/>
      <c r="Q63" s="191"/>
      <c r="R63" s="191"/>
      <c r="S63" s="191"/>
      <c r="T63" s="191"/>
    </row>
    <row r="64" spans="1:20" ht="86.45" hidden="1">
      <c r="A64" s="203" t="s">
        <v>680</v>
      </c>
      <c r="B64" s="208" t="s">
        <v>664</v>
      </c>
      <c r="C64" s="206" t="s">
        <v>539</v>
      </c>
      <c r="D64" t="s">
        <v>665</v>
      </c>
      <c r="E64" s="208" t="s">
        <v>681</v>
      </c>
      <c r="F64" s="191"/>
      <c r="G64" s="209" t="s">
        <v>682</v>
      </c>
      <c r="H64" s="208" t="s">
        <v>683</v>
      </c>
      <c r="I64" s="215"/>
      <c r="J64" s="191"/>
      <c r="K64" s="191"/>
      <c r="L64" s="191"/>
      <c r="M64" s="191"/>
      <c r="N64" s="191"/>
      <c r="O64" s="191"/>
      <c r="P64" s="191"/>
      <c r="Q64" s="191"/>
      <c r="R64" s="191"/>
      <c r="S64" s="191"/>
      <c r="T64" s="191"/>
    </row>
    <row r="65" spans="1:20" ht="79.5" hidden="1" customHeight="1">
      <c r="A65" s="203" t="s">
        <v>684</v>
      </c>
      <c r="B65" s="221" t="s">
        <v>664</v>
      </c>
      <c r="C65" s="213" t="s">
        <v>539</v>
      </c>
      <c r="D65" t="s">
        <v>665</v>
      </c>
      <c r="E65" s="221" t="s">
        <v>685</v>
      </c>
      <c r="F65" s="224"/>
      <c r="G65" s="228" t="s">
        <v>686</v>
      </c>
      <c r="H65" s="221" t="s">
        <v>687</v>
      </c>
      <c r="I65" s="215"/>
      <c r="J65" s="191"/>
      <c r="K65" s="191"/>
      <c r="L65" s="191"/>
      <c r="M65" s="191"/>
      <c r="N65" s="191"/>
      <c r="O65" s="191"/>
      <c r="P65" s="191"/>
      <c r="Q65" s="191"/>
      <c r="R65" s="191"/>
      <c r="S65" s="191"/>
      <c r="T65" s="191"/>
    </row>
    <row r="66" spans="1:20" ht="252.75" hidden="1" customHeight="1">
      <c r="A66" s="219" t="s">
        <v>688</v>
      </c>
      <c r="B66" s="191" t="s">
        <v>689</v>
      </c>
      <c r="C66" s="206" t="s">
        <v>539</v>
      </c>
      <c r="D66" s="191" t="s">
        <v>690</v>
      </c>
      <c r="E66" s="208" t="s">
        <v>691</v>
      </c>
      <c r="F66" s="191"/>
      <c r="G66" s="209" t="s">
        <v>692</v>
      </c>
      <c r="H66" s="208" t="s">
        <v>693</v>
      </c>
      <c r="I66" s="370"/>
      <c r="J66" s="191"/>
      <c r="K66" s="191"/>
      <c r="L66" s="191"/>
      <c r="M66" s="191"/>
      <c r="N66" s="191"/>
      <c r="O66" s="191"/>
      <c r="P66" s="191"/>
      <c r="Q66" s="191"/>
      <c r="R66" s="191"/>
      <c r="S66" s="191"/>
      <c r="T66" s="191"/>
    </row>
    <row r="67" spans="1:20" ht="146.25" hidden="1" customHeight="1">
      <c r="A67" s="219" t="s">
        <v>694</v>
      </c>
      <c r="B67" s="191" t="s">
        <v>689</v>
      </c>
      <c r="C67" s="206" t="s">
        <v>539</v>
      </c>
      <c r="D67" s="191" t="s">
        <v>690</v>
      </c>
      <c r="E67" s="208" t="s">
        <v>695</v>
      </c>
      <c r="F67" s="191"/>
      <c r="G67" s="209" t="s">
        <v>696</v>
      </c>
      <c r="H67" s="208" t="s">
        <v>697</v>
      </c>
      <c r="I67" s="370"/>
      <c r="J67" s="191"/>
      <c r="K67" s="191"/>
      <c r="L67" s="191"/>
      <c r="M67" s="191"/>
      <c r="N67" s="191"/>
      <c r="O67" s="191"/>
      <c r="P67" s="191"/>
      <c r="Q67" s="191"/>
      <c r="R67" s="191"/>
      <c r="S67" s="191"/>
      <c r="T67" s="191"/>
    </row>
    <row r="68" spans="1:20" ht="100.9" hidden="1">
      <c r="A68" s="219" t="s">
        <v>698</v>
      </c>
      <c r="B68" s="191" t="s">
        <v>689</v>
      </c>
      <c r="C68" s="206" t="s">
        <v>539</v>
      </c>
      <c r="D68" s="191" t="s">
        <v>690</v>
      </c>
      <c r="E68" s="208" t="s">
        <v>699</v>
      </c>
      <c r="F68" s="191"/>
      <c r="G68" s="209" t="s">
        <v>700</v>
      </c>
      <c r="H68" s="208" t="s">
        <v>701</v>
      </c>
      <c r="I68" s="370"/>
      <c r="J68" s="191"/>
      <c r="K68" s="191"/>
      <c r="L68" s="191"/>
      <c r="M68" s="191"/>
      <c r="N68" s="191"/>
      <c r="O68" s="191"/>
      <c r="P68" s="191"/>
      <c r="Q68" s="191"/>
      <c r="R68" s="191"/>
      <c r="S68" s="191"/>
      <c r="T68" s="191"/>
    </row>
    <row r="69" spans="1:20" ht="72" hidden="1">
      <c r="A69" s="219" t="s">
        <v>702</v>
      </c>
      <c r="B69" s="191" t="s">
        <v>689</v>
      </c>
      <c r="C69" s="206" t="s">
        <v>539</v>
      </c>
      <c r="D69" s="191" t="s">
        <v>690</v>
      </c>
      <c r="E69" s="208" t="s">
        <v>703</v>
      </c>
      <c r="F69" s="191"/>
      <c r="G69" s="209" t="s">
        <v>704</v>
      </c>
      <c r="H69" s="208" t="s">
        <v>705</v>
      </c>
      <c r="I69" s="370"/>
      <c r="J69" s="191"/>
      <c r="K69" s="191"/>
      <c r="L69" s="191"/>
      <c r="M69" s="191"/>
      <c r="N69" s="191"/>
      <c r="O69" s="191"/>
      <c r="P69" s="191"/>
      <c r="Q69" s="191"/>
      <c r="R69" s="191"/>
      <c r="S69" s="191"/>
      <c r="T69" s="191"/>
    </row>
    <row r="70" spans="1:20" ht="124.5" hidden="1" customHeight="1">
      <c r="A70" s="219" t="s">
        <v>706</v>
      </c>
      <c r="B70" s="191" t="s">
        <v>707</v>
      </c>
      <c r="C70" s="206" t="s">
        <v>539</v>
      </c>
      <c r="D70" s="191" t="s">
        <v>707</v>
      </c>
      <c r="E70" s="208" t="s">
        <v>708</v>
      </c>
      <c r="F70" s="191"/>
      <c r="G70" s="209" t="s">
        <v>709</v>
      </c>
      <c r="H70" s="208" t="s">
        <v>710</v>
      </c>
      <c r="I70" s="370"/>
      <c r="J70" s="191"/>
      <c r="K70" s="191"/>
      <c r="L70" s="191"/>
      <c r="M70" s="191"/>
      <c r="N70" s="191"/>
      <c r="O70" s="191"/>
      <c r="P70" s="191"/>
      <c r="Q70" s="191"/>
      <c r="R70" s="191"/>
      <c r="S70" s="191"/>
      <c r="T70" s="191"/>
    </row>
    <row r="71" spans="1:20" ht="72" hidden="1">
      <c r="A71" s="219" t="s">
        <v>711</v>
      </c>
      <c r="B71" s="191" t="s">
        <v>707</v>
      </c>
      <c r="C71" s="206" t="s">
        <v>539</v>
      </c>
      <c r="D71" s="191" t="s">
        <v>707</v>
      </c>
      <c r="E71" s="208" t="s">
        <v>712</v>
      </c>
      <c r="F71" s="191"/>
      <c r="G71" s="209" t="s">
        <v>713</v>
      </c>
      <c r="H71" s="208" t="s">
        <v>714</v>
      </c>
      <c r="I71" s="370"/>
      <c r="J71" s="191"/>
      <c r="K71" s="191"/>
      <c r="L71" s="191"/>
      <c r="M71" s="191"/>
      <c r="N71" s="191"/>
      <c r="O71" s="191"/>
      <c r="P71" s="191"/>
      <c r="Q71" s="191"/>
      <c r="R71" s="191"/>
      <c r="S71" s="191"/>
      <c r="T71" s="191"/>
    </row>
    <row r="72" spans="1:20" ht="57.6" hidden="1">
      <c r="A72" s="219" t="s">
        <v>715</v>
      </c>
      <c r="B72" s="191" t="s">
        <v>707</v>
      </c>
      <c r="C72" s="206" t="s">
        <v>539</v>
      </c>
      <c r="D72" s="191" t="s">
        <v>707</v>
      </c>
      <c r="E72" s="208" t="s">
        <v>716</v>
      </c>
      <c r="F72" s="191"/>
      <c r="G72" s="209" t="s">
        <v>717</v>
      </c>
      <c r="H72" s="208" t="s">
        <v>718</v>
      </c>
      <c r="I72" s="370"/>
      <c r="J72" s="191"/>
      <c r="K72" s="191"/>
      <c r="L72" s="191"/>
      <c r="M72" s="191"/>
      <c r="N72" s="191"/>
      <c r="O72" s="191"/>
      <c r="P72" s="191"/>
      <c r="Q72" s="191"/>
      <c r="R72" s="191"/>
      <c r="S72" s="191"/>
      <c r="T72" s="191"/>
    </row>
    <row r="73" spans="1:20" ht="115.15" hidden="1">
      <c r="A73" s="219" t="s">
        <v>719</v>
      </c>
      <c r="B73" s="191" t="s">
        <v>707</v>
      </c>
      <c r="C73" s="206" t="s">
        <v>539</v>
      </c>
      <c r="D73" s="191" t="s">
        <v>707</v>
      </c>
      <c r="E73" s="208" t="s">
        <v>720</v>
      </c>
      <c r="F73" s="191"/>
      <c r="G73" s="209" t="s">
        <v>721</v>
      </c>
      <c r="H73" s="208" t="s">
        <v>722</v>
      </c>
      <c r="I73" s="370"/>
      <c r="J73" s="191"/>
      <c r="K73" s="191"/>
      <c r="L73" s="191"/>
      <c r="M73" s="191"/>
      <c r="N73" s="191"/>
      <c r="O73" s="191"/>
      <c r="P73" s="191"/>
      <c r="Q73" s="191"/>
      <c r="R73" s="191"/>
      <c r="S73" s="191"/>
      <c r="T73" s="191"/>
    </row>
    <row r="74" spans="1:20" ht="144" hidden="1">
      <c r="A74" s="219" t="s">
        <v>723</v>
      </c>
      <c r="B74" s="191" t="s">
        <v>707</v>
      </c>
      <c r="C74" s="206" t="s">
        <v>539</v>
      </c>
      <c r="D74" s="191" t="s">
        <v>707</v>
      </c>
      <c r="E74" s="208" t="s">
        <v>724</v>
      </c>
      <c r="F74" s="191"/>
      <c r="G74" s="209" t="s">
        <v>725</v>
      </c>
      <c r="H74" s="208" t="s">
        <v>726</v>
      </c>
      <c r="I74" s="370"/>
      <c r="J74" s="191"/>
      <c r="K74" s="191"/>
      <c r="L74" s="191"/>
      <c r="M74" s="191"/>
      <c r="N74" s="191"/>
      <c r="O74" s="191"/>
      <c r="P74" s="191"/>
      <c r="Q74" s="191"/>
      <c r="R74" s="191"/>
      <c r="S74" s="191"/>
      <c r="T74" s="191"/>
    </row>
    <row r="75" spans="1:20" ht="86.45" hidden="1">
      <c r="A75" s="219" t="s">
        <v>727</v>
      </c>
      <c r="B75" s="208" t="s">
        <v>728</v>
      </c>
      <c r="C75" s="206" t="s">
        <v>539</v>
      </c>
      <c r="D75" s="191" t="s">
        <v>729</v>
      </c>
      <c r="E75" s="208" t="s">
        <v>730</v>
      </c>
      <c r="F75" s="191"/>
      <c r="G75" s="209" t="s">
        <v>731</v>
      </c>
      <c r="H75" s="208" t="s">
        <v>732</v>
      </c>
      <c r="I75" s="370"/>
      <c r="J75" s="191"/>
      <c r="K75" s="191"/>
      <c r="L75" s="191"/>
      <c r="M75" s="191"/>
      <c r="N75" s="191"/>
      <c r="O75" s="191"/>
      <c r="P75" s="191"/>
      <c r="Q75" s="191"/>
      <c r="R75" s="191"/>
      <c r="S75" s="191"/>
      <c r="T75" s="191"/>
    </row>
    <row r="76" spans="1:20" ht="72" hidden="1">
      <c r="A76" s="219" t="s">
        <v>733</v>
      </c>
      <c r="B76" s="208" t="s">
        <v>728</v>
      </c>
      <c r="C76" s="206" t="s">
        <v>539</v>
      </c>
      <c r="D76" s="191" t="s">
        <v>729</v>
      </c>
      <c r="E76" s="208" t="s">
        <v>734</v>
      </c>
      <c r="F76" s="191"/>
      <c r="G76" s="209" t="s">
        <v>735</v>
      </c>
      <c r="H76" s="208" t="s">
        <v>736</v>
      </c>
      <c r="I76" s="370"/>
      <c r="J76" s="191"/>
      <c r="K76" s="191"/>
      <c r="L76" s="191"/>
      <c r="M76" s="191"/>
      <c r="N76" s="191"/>
      <c r="O76" s="191"/>
      <c r="P76" s="191"/>
      <c r="Q76" s="191"/>
      <c r="R76" s="191"/>
      <c r="S76" s="191"/>
      <c r="T76" s="191"/>
    </row>
    <row r="77" spans="1:20" ht="57.6" hidden="1">
      <c r="A77" s="219" t="s">
        <v>737</v>
      </c>
      <c r="B77" s="208" t="s">
        <v>728</v>
      </c>
      <c r="C77" s="206" t="s">
        <v>539</v>
      </c>
      <c r="D77" s="191" t="s">
        <v>729</v>
      </c>
      <c r="E77" s="208" t="s">
        <v>738</v>
      </c>
      <c r="F77" s="191"/>
      <c r="G77" s="209" t="s">
        <v>739</v>
      </c>
      <c r="H77" s="208" t="s">
        <v>740</v>
      </c>
      <c r="I77" s="370"/>
      <c r="J77" s="191"/>
      <c r="K77" s="191"/>
      <c r="L77" s="191"/>
      <c r="M77" s="191"/>
      <c r="N77" s="191"/>
      <c r="O77" s="191"/>
      <c r="P77" s="191"/>
      <c r="Q77" s="191"/>
      <c r="R77" s="191"/>
      <c r="S77" s="191"/>
      <c r="T77" s="191"/>
    </row>
    <row r="78" spans="1:20" ht="143.25" hidden="1" customHeight="1">
      <c r="A78" s="219" t="s">
        <v>741</v>
      </c>
      <c r="B78" s="208" t="s">
        <v>728</v>
      </c>
      <c r="C78" s="206" t="s">
        <v>539</v>
      </c>
      <c r="D78" s="191" t="s">
        <v>729</v>
      </c>
      <c r="E78" s="208" t="s">
        <v>742</v>
      </c>
      <c r="F78" s="191"/>
      <c r="G78" s="209" t="s">
        <v>743</v>
      </c>
      <c r="H78" s="208" t="s">
        <v>744</v>
      </c>
      <c r="I78" s="370"/>
      <c r="J78" s="191"/>
      <c r="K78" s="191"/>
      <c r="L78" s="191"/>
      <c r="M78" s="191"/>
      <c r="N78" s="191"/>
      <c r="O78" s="191"/>
      <c r="P78" s="191"/>
      <c r="Q78" s="191"/>
      <c r="R78" s="191"/>
      <c r="S78" s="191"/>
      <c r="T78" s="191"/>
    </row>
    <row r="79" spans="1:20" ht="72" hidden="1">
      <c r="A79" s="219" t="s">
        <v>745</v>
      </c>
      <c r="B79" s="208" t="s">
        <v>746</v>
      </c>
      <c r="C79" s="206" t="s">
        <v>539</v>
      </c>
      <c r="D79" s="191" t="s">
        <v>747</v>
      </c>
      <c r="E79" s="208" t="s">
        <v>748</v>
      </c>
      <c r="F79" s="191"/>
      <c r="G79" s="209" t="s">
        <v>749</v>
      </c>
      <c r="H79" s="208" t="s">
        <v>750</v>
      </c>
      <c r="I79" s="370"/>
      <c r="J79" s="191"/>
      <c r="K79" s="191"/>
      <c r="L79" s="191"/>
      <c r="M79" s="191"/>
      <c r="N79" s="191"/>
      <c r="O79" s="191"/>
      <c r="P79" s="191"/>
      <c r="Q79" s="191"/>
      <c r="R79" s="191"/>
      <c r="S79" s="191"/>
      <c r="T79" s="191"/>
    </row>
    <row r="80" spans="1:20" ht="131.25" hidden="1" customHeight="1">
      <c r="A80" s="219" t="s">
        <v>751</v>
      </c>
      <c r="B80" s="208" t="s">
        <v>746</v>
      </c>
      <c r="C80" s="206" t="s">
        <v>539</v>
      </c>
      <c r="D80" s="191" t="s">
        <v>747</v>
      </c>
      <c r="E80" s="208" t="s">
        <v>752</v>
      </c>
      <c r="F80" s="191"/>
      <c r="G80" s="209" t="s">
        <v>753</v>
      </c>
      <c r="H80" s="208" t="s">
        <v>754</v>
      </c>
      <c r="I80" s="370"/>
      <c r="J80" s="191"/>
      <c r="K80" s="191"/>
      <c r="L80" s="191"/>
      <c r="M80" s="191"/>
      <c r="N80" s="191"/>
      <c r="O80" s="191"/>
      <c r="P80" s="191"/>
      <c r="Q80" s="191"/>
      <c r="R80" s="191"/>
      <c r="S80" s="191"/>
      <c r="T80" s="191"/>
    </row>
    <row r="81" spans="1:20" ht="72" hidden="1">
      <c r="A81" s="219" t="s">
        <v>755</v>
      </c>
      <c r="B81" s="208" t="s">
        <v>746</v>
      </c>
      <c r="C81" s="206" t="s">
        <v>539</v>
      </c>
      <c r="D81" s="191" t="s">
        <v>747</v>
      </c>
      <c r="E81" s="208" t="s">
        <v>756</v>
      </c>
      <c r="F81" s="191"/>
      <c r="G81" s="209" t="s">
        <v>757</v>
      </c>
      <c r="H81" s="208" t="s">
        <v>758</v>
      </c>
      <c r="I81" s="370"/>
      <c r="J81" s="191"/>
      <c r="K81" s="191"/>
      <c r="L81" s="191"/>
      <c r="M81" s="191"/>
      <c r="N81" s="191"/>
      <c r="O81" s="191"/>
      <c r="P81" s="191"/>
      <c r="Q81" s="191"/>
      <c r="R81" s="191"/>
      <c r="S81" s="191"/>
      <c r="T81" s="191"/>
    </row>
    <row r="82" spans="1:20" ht="86.45" hidden="1">
      <c r="A82" s="219" t="s">
        <v>759</v>
      </c>
      <c r="B82" s="208" t="s">
        <v>760</v>
      </c>
      <c r="C82" s="206" t="s">
        <v>539</v>
      </c>
      <c r="D82" s="191" t="s">
        <v>761</v>
      </c>
      <c r="E82" s="208" t="s">
        <v>762</v>
      </c>
      <c r="F82" s="191"/>
      <c r="G82" s="209" t="s">
        <v>763</v>
      </c>
      <c r="H82" s="208" t="s">
        <v>764</v>
      </c>
      <c r="I82" s="370"/>
      <c r="J82" s="191"/>
      <c r="K82" s="191"/>
      <c r="L82" s="191"/>
      <c r="M82" s="191"/>
      <c r="N82" s="191"/>
      <c r="O82" s="191"/>
      <c r="P82" s="191"/>
      <c r="Q82" s="191"/>
      <c r="R82" s="191"/>
      <c r="S82" s="191"/>
      <c r="T82" s="191"/>
    </row>
    <row r="83" spans="1:20" ht="125.25" hidden="1" customHeight="1">
      <c r="A83" s="219" t="s">
        <v>765</v>
      </c>
      <c r="B83" s="208" t="s">
        <v>760</v>
      </c>
      <c r="C83" s="206" t="s">
        <v>539</v>
      </c>
      <c r="D83" s="191" t="s">
        <v>766</v>
      </c>
      <c r="E83" s="208" t="s">
        <v>767</v>
      </c>
      <c r="F83" s="191"/>
      <c r="G83" s="209" t="s">
        <v>768</v>
      </c>
      <c r="H83" s="208" t="s">
        <v>769</v>
      </c>
      <c r="I83" s="370"/>
      <c r="J83" s="191"/>
      <c r="K83" s="191"/>
      <c r="L83" s="191"/>
      <c r="M83" s="191"/>
      <c r="N83" s="191"/>
      <c r="O83" s="191"/>
      <c r="P83" s="191"/>
      <c r="Q83" s="191"/>
      <c r="R83" s="191"/>
      <c r="S83" s="191"/>
      <c r="T83" s="191"/>
    </row>
    <row r="84" spans="1:20" ht="138.75" hidden="1" customHeight="1">
      <c r="A84" s="219" t="s">
        <v>770</v>
      </c>
      <c r="B84" s="208" t="s">
        <v>760</v>
      </c>
      <c r="C84" s="206" t="s">
        <v>539</v>
      </c>
      <c r="D84" s="191" t="s">
        <v>771</v>
      </c>
      <c r="E84" s="208" t="s">
        <v>772</v>
      </c>
      <c r="F84" s="191"/>
      <c r="G84" s="209" t="s">
        <v>773</v>
      </c>
      <c r="H84" s="208" t="s">
        <v>774</v>
      </c>
      <c r="I84" s="370"/>
      <c r="J84" s="191"/>
      <c r="K84" s="191"/>
      <c r="L84" s="191"/>
      <c r="M84" s="191"/>
      <c r="N84" s="191"/>
      <c r="O84" s="191"/>
      <c r="P84" s="191"/>
      <c r="Q84" s="191"/>
      <c r="R84" s="191"/>
      <c r="S84" s="191"/>
      <c r="T84" s="191"/>
    </row>
    <row r="85" spans="1:20" ht="127.5" hidden="1" customHeight="1">
      <c r="A85" s="219" t="s">
        <v>775</v>
      </c>
      <c r="B85" s="208" t="s">
        <v>760</v>
      </c>
      <c r="C85" s="206" t="s">
        <v>539</v>
      </c>
      <c r="D85" s="191" t="s">
        <v>776</v>
      </c>
      <c r="E85" s="208" t="s">
        <v>777</v>
      </c>
      <c r="F85" s="191"/>
      <c r="G85" s="209" t="s">
        <v>778</v>
      </c>
      <c r="H85" s="208" t="s">
        <v>779</v>
      </c>
      <c r="I85" s="370"/>
      <c r="J85" s="191"/>
      <c r="K85" s="191"/>
      <c r="L85" s="191"/>
      <c r="M85" s="191"/>
      <c r="N85" s="191"/>
      <c r="O85" s="191"/>
      <c r="P85" s="191"/>
      <c r="Q85" s="191"/>
      <c r="R85" s="191"/>
      <c r="S85" s="191"/>
      <c r="T85" s="191"/>
    </row>
    <row r="86" spans="1:20" ht="57.6" hidden="1">
      <c r="A86" s="219" t="s">
        <v>780</v>
      </c>
      <c r="B86" s="208" t="s">
        <v>760</v>
      </c>
      <c r="C86" s="206" t="s">
        <v>539</v>
      </c>
      <c r="D86" s="191" t="s">
        <v>781</v>
      </c>
      <c r="E86" s="208" t="s">
        <v>782</v>
      </c>
      <c r="F86" s="191"/>
      <c r="G86" s="209" t="s">
        <v>783</v>
      </c>
      <c r="H86" s="208" t="s">
        <v>784</v>
      </c>
      <c r="I86" s="370"/>
      <c r="J86" s="191"/>
      <c r="K86" s="191"/>
      <c r="L86" s="191"/>
      <c r="M86" s="191"/>
      <c r="N86" s="191"/>
      <c r="O86" s="191"/>
      <c r="P86" s="191"/>
      <c r="Q86" s="191"/>
      <c r="R86" s="191"/>
      <c r="S86" s="191"/>
      <c r="T86" s="191"/>
    </row>
    <row r="87" spans="1:20" ht="86.45" hidden="1">
      <c r="A87" s="219" t="s">
        <v>785</v>
      </c>
      <c r="B87" s="208" t="s">
        <v>760</v>
      </c>
      <c r="C87" s="206" t="s">
        <v>539</v>
      </c>
      <c r="D87" s="191" t="s">
        <v>786</v>
      </c>
      <c r="E87" s="208" t="s">
        <v>787</v>
      </c>
      <c r="F87" s="191"/>
      <c r="G87" s="209" t="s">
        <v>788</v>
      </c>
      <c r="H87" s="208" t="s">
        <v>789</v>
      </c>
      <c r="I87" s="370"/>
      <c r="J87" s="191"/>
      <c r="K87" s="191"/>
      <c r="L87" s="191"/>
      <c r="M87" s="191"/>
      <c r="N87" s="191"/>
      <c r="O87" s="191"/>
      <c r="P87" s="191"/>
      <c r="Q87" s="191"/>
      <c r="R87" s="191"/>
      <c r="S87" s="191"/>
      <c r="T87" s="191"/>
    </row>
    <row r="88" spans="1:20" ht="72" hidden="1">
      <c r="A88" s="232" t="s">
        <v>790</v>
      </c>
      <c r="B88" s="221" t="s">
        <v>791</v>
      </c>
      <c r="C88" s="213" t="s">
        <v>539</v>
      </c>
      <c r="D88" s="224" t="s">
        <v>792</v>
      </c>
      <c r="E88" s="221" t="s">
        <v>793</v>
      </c>
      <c r="F88" s="224"/>
      <c r="G88" s="228" t="s">
        <v>794</v>
      </c>
      <c r="H88" s="221" t="s">
        <v>795</v>
      </c>
      <c r="I88" s="371"/>
      <c r="J88" s="224"/>
      <c r="K88" s="224"/>
      <c r="L88" s="224" t="s">
        <v>796</v>
      </c>
      <c r="M88" s="224"/>
      <c r="N88" s="224"/>
      <c r="O88" s="224"/>
      <c r="P88" s="224"/>
      <c r="Q88" s="224"/>
      <c r="R88" s="224"/>
      <c r="S88" s="224"/>
      <c r="T88" s="224"/>
    </row>
    <row r="89" spans="1:20" ht="121.5" hidden="1" customHeight="1">
      <c r="A89" s="203" t="s">
        <v>797</v>
      </c>
      <c r="B89" s="208" t="s">
        <v>791</v>
      </c>
      <c r="C89" s="206" t="s">
        <v>539</v>
      </c>
      <c r="D89" s="191" t="s">
        <v>792</v>
      </c>
      <c r="E89" s="208" t="s">
        <v>798</v>
      </c>
      <c r="F89" s="191"/>
      <c r="G89" s="209" t="s">
        <v>799</v>
      </c>
      <c r="H89" s="208" t="s">
        <v>800</v>
      </c>
      <c r="I89" s="215"/>
      <c r="J89" s="191"/>
      <c r="K89" s="191"/>
      <c r="L89" s="191"/>
      <c r="M89" s="191"/>
      <c r="N89" s="191"/>
      <c r="O89" s="191"/>
      <c r="P89" s="191"/>
      <c r="Q89" s="191"/>
      <c r="R89" s="191"/>
      <c r="S89" s="191"/>
      <c r="T89" s="191"/>
    </row>
    <row r="90" spans="1:20" ht="121.5" hidden="1" customHeight="1">
      <c r="A90" s="233" t="s">
        <v>801</v>
      </c>
      <c r="B90" s="229" t="s">
        <v>791</v>
      </c>
      <c r="C90" s="234" t="s">
        <v>539</v>
      </c>
      <c r="D90" s="227" t="s">
        <v>792</v>
      </c>
      <c r="E90" s="229" t="s">
        <v>802</v>
      </c>
      <c r="F90" s="227"/>
      <c r="G90" s="231" t="s">
        <v>803</v>
      </c>
      <c r="H90" s="229" t="s">
        <v>804</v>
      </c>
      <c r="I90" s="372"/>
      <c r="J90" s="227"/>
      <c r="K90" s="227"/>
      <c r="L90" s="227"/>
      <c r="M90" s="227"/>
      <c r="N90" s="227"/>
      <c r="O90" s="227"/>
      <c r="P90" s="227"/>
      <c r="Q90" s="227"/>
      <c r="R90" s="227"/>
      <c r="S90" s="227"/>
      <c r="T90" s="227"/>
    </row>
    <row r="91" spans="1:20" ht="216.75" hidden="1" customHeight="1">
      <c r="A91" s="219" t="s">
        <v>805</v>
      </c>
      <c r="B91" s="208" t="s">
        <v>791</v>
      </c>
      <c r="C91" s="206" t="s">
        <v>539</v>
      </c>
      <c r="D91" s="191" t="s">
        <v>792</v>
      </c>
      <c r="E91" s="208" t="s">
        <v>806</v>
      </c>
      <c r="F91" s="191"/>
      <c r="G91" s="209" t="s">
        <v>807</v>
      </c>
      <c r="H91" s="208" t="s">
        <v>808</v>
      </c>
      <c r="I91" s="370"/>
      <c r="J91" s="191"/>
      <c r="K91" s="191"/>
      <c r="L91" s="191"/>
      <c r="M91" s="191"/>
      <c r="N91" s="191"/>
      <c r="O91" s="191"/>
      <c r="P91" s="191"/>
      <c r="Q91" s="191"/>
      <c r="R91" s="191"/>
      <c r="S91" s="191"/>
      <c r="T91" s="191"/>
    </row>
    <row r="92" spans="1:20" ht="86.45" hidden="1">
      <c r="A92" s="219" t="s">
        <v>809</v>
      </c>
      <c r="B92" s="208" t="s">
        <v>791</v>
      </c>
      <c r="C92" s="206" t="s">
        <v>539</v>
      </c>
      <c r="D92" s="191" t="s">
        <v>792</v>
      </c>
      <c r="E92" s="208" t="s">
        <v>810</v>
      </c>
      <c r="F92" s="191"/>
      <c r="G92" s="209" t="s">
        <v>811</v>
      </c>
      <c r="H92" s="208" t="s">
        <v>812</v>
      </c>
      <c r="I92" s="370"/>
      <c r="J92" s="191"/>
      <c r="K92" s="191"/>
      <c r="L92" s="191"/>
      <c r="M92" s="191"/>
      <c r="N92" s="191"/>
      <c r="O92" s="191"/>
      <c r="P92" s="191"/>
      <c r="Q92" s="191"/>
      <c r="R92" s="191"/>
      <c r="S92" s="191"/>
      <c r="T92" s="191"/>
    </row>
    <row r="93" spans="1:20" hidden="1">
      <c r="A93" s="219" t="s">
        <v>813</v>
      </c>
      <c r="B93" s="229"/>
      <c r="C93" s="230"/>
      <c r="E93" s="229"/>
      <c r="F93" s="227"/>
      <c r="G93" s="231"/>
      <c r="H93" s="229"/>
      <c r="I93" s="215"/>
      <c r="J93" s="191"/>
      <c r="K93" s="191"/>
      <c r="L93" s="191"/>
      <c r="M93" s="191"/>
      <c r="N93" s="191"/>
      <c r="O93" s="191"/>
      <c r="P93" s="191"/>
      <c r="Q93" s="191"/>
      <c r="R93" s="191"/>
      <c r="S93" s="191"/>
      <c r="T93" s="191"/>
    </row>
    <row r="94" spans="1:20" hidden="1">
      <c r="A94" s="219" t="s">
        <v>814</v>
      </c>
      <c r="B94" s="208"/>
      <c r="C94" s="222"/>
      <c r="E94" s="208"/>
      <c r="F94" s="191"/>
      <c r="G94" s="209"/>
      <c r="H94" s="208"/>
      <c r="I94" s="215"/>
      <c r="J94" s="191"/>
      <c r="K94" s="191"/>
      <c r="L94" s="191"/>
      <c r="M94" s="191"/>
      <c r="N94" s="191"/>
      <c r="O94" s="191"/>
      <c r="P94" s="191"/>
      <c r="Q94" s="191"/>
      <c r="R94" s="191"/>
      <c r="S94" s="191"/>
      <c r="T94" s="191"/>
    </row>
    <row r="95" spans="1:20" hidden="1">
      <c r="A95" s="219" t="s">
        <v>815</v>
      </c>
      <c r="B95" s="208"/>
      <c r="C95" s="222"/>
      <c r="E95" s="208"/>
      <c r="F95" s="191"/>
      <c r="G95" s="209"/>
      <c r="H95" s="208"/>
      <c r="I95" s="215"/>
      <c r="J95" s="191"/>
      <c r="K95" s="191"/>
      <c r="L95" s="191"/>
      <c r="M95" s="191"/>
      <c r="N95" s="191"/>
      <c r="O95" s="191"/>
      <c r="P95" s="191"/>
      <c r="Q95" s="191"/>
      <c r="R95" s="191"/>
      <c r="S95" s="191"/>
      <c r="T95" s="191"/>
    </row>
    <row r="96" spans="1:20" hidden="1">
      <c r="A96" s="219" t="s">
        <v>816</v>
      </c>
      <c r="B96" s="208"/>
      <c r="C96" s="222"/>
      <c r="E96" s="208"/>
      <c r="F96" s="191"/>
      <c r="G96" s="209"/>
      <c r="H96" s="208"/>
      <c r="I96" s="215"/>
      <c r="J96" s="191"/>
      <c r="K96" s="191"/>
      <c r="L96" s="191"/>
      <c r="M96" s="191"/>
      <c r="N96" s="191"/>
      <c r="O96" s="191"/>
      <c r="P96" s="191"/>
      <c r="Q96" s="191"/>
      <c r="R96" s="191"/>
      <c r="S96" s="191"/>
      <c r="T96" s="191"/>
    </row>
    <row r="97" spans="1:20" hidden="1">
      <c r="A97" s="219" t="s">
        <v>817</v>
      </c>
      <c r="B97" s="208"/>
      <c r="C97" s="222"/>
      <c r="E97" s="208"/>
      <c r="F97" s="191"/>
      <c r="G97" s="209"/>
      <c r="H97" s="208"/>
      <c r="I97" s="215"/>
      <c r="J97" s="191"/>
      <c r="K97" s="191"/>
      <c r="L97" s="191"/>
      <c r="M97" s="191"/>
      <c r="N97" s="191"/>
      <c r="O97" s="191"/>
      <c r="P97" s="191"/>
      <c r="Q97" s="191"/>
      <c r="R97" s="191"/>
      <c r="S97" s="191"/>
      <c r="T97" s="191"/>
    </row>
    <row r="98" spans="1:20" hidden="1">
      <c r="A98" s="219" t="s">
        <v>818</v>
      </c>
      <c r="B98" s="208"/>
      <c r="C98" s="222"/>
      <c r="E98" s="208"/>
      <c r="F98" s="191"/>
      <c r="G98" s="209"/>
      <c r="H98" s="208"/>
      <c r="I98" s="215"/>
      <c r="J98" s="191"/>
      <c r="K98" s="191"/>
      <c r="L98" s="191"/>
      <c r="M98" s="191"/>
      <c r="N98" s="191"/>
      <c r="O98" s="191"/>
      <c r="P98" s="191"/>
      <c r="Q98" s="191"/>
      <c r="R98" s="191"/>
      <c r="S98" s="191"/>
      <c r="T98" s="191"/>
    </row>
    <row r="99" spans="1:20" hidden="1">
      <c r="A99" s="219" t="s">
        <v>819</v>
      </c>
      <c r="B99" s="208"/>
      <c r="C99" s="222"/>
      <c r="E99" s="208"/>
      <c r="F99" s="191"/>
      <c r="G99" s="209"/>
      <c r="H99" s="208"/>
      <c r="I99" s="215"/>
      <c r="J99" s="191"/>
      <c r="K99" s="191"/>
      <c r="L99" s="191"/>
      <c r="M99" s="191"/>
      <c r="N99" s="191"/>
      <c r="O99" s="191"/>
      <c r="P99" s="191"/>
      <c r="Q99" s="191"/>
      <c r="R99" s="191"/>
      <c r="S99" s="191"/>
      <c r="T99" s="191"/>
    </row>
    <row r="100" spans="1:20" hidden="1">
      <c r="A100" s="219" t="s">
        <v>820</v>
      </c>
      <c r="B100" s="208"/>
      <c r="C100" s="222"/>
      <c r="E100" s="208"/>
      <c r="F100" s="191"/>
      <c r="G100" s="209"/>
      <c r="H100" s="208"/>
      <c r="I100" s="215"/>
      <c r="J100" s="191"/>
      <c r="K100" s="191"/>
      <c r="L100" s="191"/>
      <c r="M100" s="191"/>
      <c r="N100" s="191"/>
      <c r="O100" s="191"/>
      <c r="P100" s="191"/>
      <c r="Q100" s="191"/>
      <c r="R100" s="191"/>
      <c r="S100" s="191"/>
      <c r="T100" s="191"/>
    </row>
    <row r="101" spans="1:20" hidden="1">
      <c r="A101" s="219" t="s">
        <v>821</v>
      </c>
      <c r="B101" s="208"/>
      <c r="C101" s="222"/>
      <c r="E101" s="208"/>
      <c r="F101" s="191"/>
      <c r="G101" s="209"/>
      <c r="H101" s="208"/>
      <c r="I101" s="215"/>
      <c r="J101" s="191"/>
      <c r="K101" s="191"/>
      <c r="L101" s="191"/>
      <c r="M101" s="191"/>
      <c r="N101" s="191"/>
      <c r="O101" s="191"/>
      <c r="P101" s="191"/>
      <c r="Q101" s="191"/>
      <c r="R101" s="191"/>
      <c r="S101" s="191"/>
      <c r="T101" s="191"/>
    </row>
    <row r="102" spans="1:20" hidden="1">
      <c r="A102" s="219" t="s">
        <v>822</v>
      </c>
      <c r="B102" s="208"/>
      <c r="C102" s="222"/>
      <c r="E102" s="208"/>
      <c r="F102" s="191"/>
      <c r="G102" s="209"/>
      <c r="H102" s="208"/>
      <c r="I102" s="215"/>
      <c r="J102" s="191"/>
      <c r="K102" s="191"/>
      <c r="L102" s="191"/>
      <c r="M102" s="191"/>
      <c r="N102" s="191"/>
      <c r="O102" s="191"/>
      <c r="P102" s="191"/>
      <c r="Q102" s="191"/>
      <c r="R102" s="191"/>
      <c r="S102" s="191"/>
      <c r="T102" s="191"/>
    </row>
    <row r="103" spans="1:20" hidden="1">
      <c r="A103" s="203" t="s">
        <v>823</v>
      </c>
      <c r="B103" s="227"/>
      <c r="C103" s="191"/>
      <c r="D103" s="208"/>
      <c r="E103" s="191"/>
      <c r="F103" s="191"/>
      <c r="G103" s="191"/>
      <c r="H103" s="191"/>
      <c r="I103" s="215"/>
      <c r="J103" s="191"/>
      <c r="K103" s="191"/>
      <c r="L103" s="191"/>
      <c r="M103" s="191"/>
      <c r="N103" s="191"/>
      <c r="O103" s="191"/>
      <c r="P103" s="191"/>
      <c r="Q103" s="191"/>
      <c r="R103" s="191"/>
      <c r="S103" s="191"/>
      <c r="T103" s="191"/>
    </row>
    <row r="104" spans="1:20" hidden="1">
      <c r="A104" s="212" t="s">
        <v>824</v>
      </c>
      <c r="B104" s="224"/>
      <c r="C104" s="224"/>
      <c r="D104" s="221"/>
      <c r="E104" s="224"/>
      <c r="F104" s="191"/>
      <c r="G104" s="224"/>
      <c r="H104" s="224"/>
      <c r="I104" s="369"/>
      <c r="J104" s="224"/>
      <c r="K104" s="224"/>
      <c r="L104" s="224"/>
      <c r="M104" s="224"/>
      <c r="N104" s="224"/>
      <c r="O104" s="224"/>
      <c r="P104" s="224"/>
      <c r="Q104" s="224"/>
      <c r="R104" s="224"/>
      <c r="S104" s="224"/>
      <c r="T104" s="224"/>
    </row>
    <row r="105" spans="1:20" ht="408.75" customHeight="1">
      <c r="A105" s="203" t="s">
        <v>825</v>
      </c>
      <c r="B105" s="191" t="s">
        <v>826</v>
      </c>
      <c r="C105" s="191" t="s">
        <v>827</v>
      </c>
      <c r="D105" s="208" t="s">
        <v>828</v>
      </c>
      <c r="E105" s="208" t="s">
        <v>829</v>
      </c>
      <c r="F105" s="363"/>
      <c r="G105" s="209" t="s">
        <v>830</v>
      </c>
      <c r="H105" s="208" t="s">
        <v>831</v>
      </c>
      <c r="I105" s="215">
        <v>4</v>
      </c>
      <c r="J105" s="191">
        <f>K105/8</f>
        <v>15</v>
      </c>
      <c r="K105" s="191">
        <v>120</v>
      </c>
      <c r="L105" s="191"/>
      <c r="M105" s="203" t="s">
        <v>23</v>
      </c>
      <c r="N105" s="191"/>
      <c r="O105" s="191"/>
      <c r="P105" s="191"/>
      <c r="Q105" s="191"/>
      <c r="R105" s="191"/>
      <c r="S105" s="191"/>
      <c r="T105" s="191"/>
    </row>
    <row r="106" spans="1:20" ht="288" hidden="1" customHeight="1">
      <c r="A106" s="226" t="s">
        <v>832</v>
      </c>
      <c r="B106" s="227" t="s">
        <v>833</v>
      </c>
      <c r="C106" s="227" t="s">
        <v>834</v>
      </c>
      <c r="D106" t="s">
        <v>835</v>
      </c>
      <c r="E106" s="195" t="s">
        <v>836</v>
      </c>
      <c r="G106" s="235" t="s">
        <v>837</v>
      </c>
      <c r="H106" s="195" t="s">
        <v>838</v>
      </c>
      <c r="J106"/>
      <c r="K106"/>
    </row>
    <row r="107" spans="1:20" ht="249" hidden="1" customHeight="1">
      <c r="A107" s="203" t="s">
        <v>839</v>
      </c>
      <c r="B107" s="224" t="s">
        <v>833</v>
      </c>
      <c r="C107" s="224" t="s">
        <v>834</v>
      </c>
      <c r="D107" t="s">
        <v>835</v>
      </c>
      <c r="E107" s="195" t="s">
        <v>840</v>
      </c>
      <c r="G107" s="235" t="s">
        <v>841</v>
      </c>
      <c r="H107" s="195" t="s">
        <v>842</v>
      </c>
      <c r="J107"/>
      <c r="K107"/>
    </row>
    <row r="108" spans="1:20" ht="154.5" hidden="1" customHeight="1">
      <c r="A108" s="219" t="s">
        <v>843</v>
      </c>
      <c r="B108" s="191" t="s">
        <v>833</v>
      </c>
      <c r="C108" s="191" t="s">
        <v>834</v>
      </c>
      <c r="D108" s="191" t="s">
        <v>835</v>
      </c>
      <c r="E108" s="208" t="s">
        <v>844</v>
      </c>
      <c r="F108" s="191"/>
      <c r="G108" s="209" t="s">
        <v>845</v>
      </c>
      <c r="H108" s="208" t="s">
        <v>846</v>
      </c>
      <c r="J108"/>
      <c r="K108"/>
    </row>
    <row r="109" spans="1:20" ht="129.6" hidden="1">
      <c r="A109" s="219" t="s">
        <v>847</v>
      </c>
      <c r="B109" s="191" t="s">
        <v>833</v>
      </c>
      <c r="C109" s="191" t="s">
        <v>834</v>
      </c>
      <c r="D109" s="191" t="s">
        <v>835</v>
      </c>
      <c r="E109" s="208" t="s">
        <v>848</v>
      </c>
      <c r="F109" s="191"/>
      <c r="G109" s="209" t="s">
        <v>849</v>
      </c>
      <c r="H109" s="208" t="s">
        <v>850</v>
      </c>
      <c r="J109"/>
      <c r="K109"/>
    </row>
    <row r="110" spans="1:20" ht="274.5" hidden="1" customHeight="1">
      <c r="A110" s="203" t="s">
        <v>851</v>
      </c>
      <c r="B110" s="191" t="s">
        <v>833</v>
      </c>
      <c r="C110" s="191" t="s">
        <v>834</v>
      </c>
      <c r="D110" s="191" t="s">
        <v>835</v>
      </c>
      <c r="E110" s="195" t="s">
        <v>852</v>
      </c>
      <c r="G110" s="235" t="s">
        <v>853</v>
      </c>
      <c r="H110" s="195" t="s">
        <v>854</v>
      </c>
      <c r="J110"/>
      <c r="K110"/>
    </row>
    <row r="111" spans="1:20" ht="144" hidden="1">
      <c r="A111" s="203" t="s">
        <v>855</v>
      </c>
      <c r="B111" s="191" t="s">
        <v>833</v>
      </c>
      <c r="C111" s="191" t="s">
        <v>834</v>
      </c>
      <c r="D111" s="191" t="s">
        <v>835</v>
      </c>
      <c r="E111" s="195" t="s">
        <v>856</v>
      </c>
      <c r="G111" s="235" t="s">
        <v>857</v>
      </c>
      <c r="H111" s="195" t="s">
        <v>858</v>
      </c>
      <c r="J111"/>
      <c r="K111"/>
    </row>
    <row r="112" spans="1:20" ht="100.9" hidden="1">
      <c r="A112" s="203" t="s">
        <v>859</v>
      </c>
      <c r="B112" s="224" t="s">
        <v>833</v>
      </c>
      <c r="C112" s="224" t="s">
        <v>834</v>
      </c>
      <c r="D112" s="224" t="s">
        <v>835</v>
      </c>
      <c r="E112" s="195" t="s">
        <v>860</v>
      </c>
      <c r="G112" s="235" t="s">
        <v>861</v>
      </c>
      <c r="H112" s="195" t="s">
        <v>862</v>
      </c>
      <c r="J112"/>
      <c r="K112"/>
    </row>
    <row r="113" spans="1:20" ht="100.9" hidden="1">
      <c r="A113" s="219" t="s">
        <v>863</v>
      </c>
      <c r="B113" s="191" t="s">
        <v>864</v>
      </c>
      <c r="C113" s="191" t="s">
        <v>834</v>
      </c>
      <c r="D113" s="191" t="s">
        <v>865</v>
      </c>
      <c r="E113" s="195" t="s">
        <v>866</v>
      </c>
      <c r="G113" s="195" t="s">
        <v>867</v>
      </c>
      <c r="H113" s="195" t="s">
        <v>868</v>
      </c>
      <c r="J113"/>
      <c r="K113"/>
    </row>
    <row r="114" spans="1:20" ht="129.6" hidden="1">
      <c r="A114" s="203" t="s">
        <v>869</v>
      </c>
      <c r="B114" s="224" t="s">
        <v>864</v>
      </c>
      <c r="C114" s="224" t="s">
        <v>834</v>
      </c>
      <c r="D114" s="236" t="s">
        <v>865</v>
      </c>
      <c r="E114" s="221" t="s">
        <v>870</v>
      </c>
      <c r="F114" s="224"/>
      <c r="G114" s="228" t="s">
        <v>871</v>
      </c>
      <c r="H114" s="221" t="s">
        <v>872</v>
      </c>
      <c r="J114"/>
      <c r="K114"/>
    </row>
    <row r="115" spans="1:20" ht="156.75" hidden="1" customHeight="1">
      <c r="A115" s="232" t="s">
        <v>873</v>
      </c>
      <c r="B115" s="224" t="s">
        <v>864</v>
      </c>
      <c r="C115" s="224" t="s">
        <v>834</v>
      </c>
      <c r="D115" s="212" t="s">
        <v>865</v>
      </c>
      <c r="E115" s="221" t="s">
        <v>874</v>
      </c>
      <c r="F115" s="191"/>
      <c r="G115" s="228" t="s">
        <v>875</v>
      </c>
      <c r="H115" s="221" t="s">
        <v>876</v>
      </c>
      <c r="J115"/>
      <c r="K115"/>
    </row>
    <row r="116" spans="1:20" ht="115.15">
      <c r="A116" s="203" t="s">
        <v>877</v>
      </c>
      <c r="B116" s="191" t="s">
        <v>864</v>
      </c>
      <c r="C116" s="191" t="s">
        <v>878</v>
      </c>
      <c r="D116" s="203" t="s">
        <v>865</v>
      </c>
      <c r="E116" s="208" t="s">
        <v>879</v>
      </c>
      <c r="G116" s="209" t="s">
        <v>880</v>
      </c>
      <c r="H116" s="208" t="s">
        <v>881</v>
      </c>
      <c r="I116" s="215">
        <v>4</v>
      </c>
      <c r="J116" s="191">
        <f>K116/8</f>
        <v>10</v>
      </c>
      <c r="K116" s="191">
        <v>80</v>
      </c>
      <c r="L116" s="191"/>
      <c r="M116" s="203" t="s">
        <v>23</v>
      </c>
      <c r="N116" s="191"/>
      <c r="O116" s="191"/>
      <c r="P116" s="191"/>
      <c r="Q116" s="191"/>
      <c r="R116" s="191"/>
      <c r="S116" s="191"/>
      <c r="T116" s="191"/>
    </row>
    <row r="117" spans="1:20" ht="100.9">
      <c r="A117" s="203" t="s">
        <v>882</v>
      </c>
      <c r="B117" s="191" t="s">
        <v>883</v>
      </c>
      <c r="C117" s="191" t="s">
        <v>878</v>
      </c>
      <c r="D117" s="208" t="s">
        <v>884</v>
      </c>
      <c r="E117" s="208" t="s">
        <v>885</v>
      </c>
      <c r="G117" s="209" t="s">
        <v>886</v>
      </c>
      <c r="H117" s="208" t="s">
        <v>887</v>
      </c>
      <c r="I117" s="215">
        <v>5</v>
      </c>
      <c r="J117" s="528">
        <f>K117/8</f>
        <v>10</v>
      </c>
      <c r="K117" s="528">
        <v>80</v>
      </c>
      <c r="L117" s="191"/>
      <c r="M117" s="203" t="s">
        <v>23</v>
      </c>
      <c r="N117" s="191"/>
      <c r="O117" s="191"/>
      <c r="P117" s="191"/>
      <c r="Q117" s="191"/>
      <c r="R117" s="191"/>
      <c r="S117" s="191"/>
      <c r="T117" s="191"/>
    </row>
    <row r="118" spans="1:20" ht="144">
      <c r="A118" s="203" t="s">
        <v>888</v>
      </c>
      <c r="B118" s="191" t="s">
        <v>883</v>
      </c>
      <c r="C118" s="191" t="s">
        <v>878</v>
      </c>
      <c r="D118" s="208" t="s">
        <v>884</v>
      </c>
      <c r="E118" s="208" t="s">
        <v>889</v>
      </c>
      <c r="G118" s="209" t="s">
        <v>890</v>
      </c>
      <c r="H118" s="208" t="s">
        <v>891</v>
      </c>
      <c r="I118" s="215">
        <v>5</v>
      </c>
      <c r="J118" s="529"/>
      <c r="K118" s="529"/>
      <c r="L118" s="191"/>
      <c r="M118" s="203" t="s">
        <v>23</v>
      </c>
      <c r="N118" s="191"/>
      <c r="O118" s="191"/>
      <c r="P118" s="191"/>
      <c r="Q118" s="191"/>
      <c r="R118" s="191"/>
      <c r="S118" s="191"/>
      <c r="T118" s="191"/>
    </row>
    <row r="119" spans="1:20" ht="100.9">
      <c r="A119" s="203" t="s">
        <v>892</v>
      </c>
      <c r="B119" s="191" t="s">
        <v>883</v>
      </c>
      <c r="C119" s="191" t="s">
        <v>878</v>
      </c>
      <c r="D119" s="208" t="s">
        <v>884</v>
      </c>
      <c r="E119" s="208" t="s">
        <v>893</v>
      </c>
      <c r="G119" s="209" t="s">
        <v>894</v>
      </c>
      <c r="H119" s="208" t="s">
        <v>895</v>
      </c>
      <c r="I119" s="215">
        <v>5</v>
      </c>
      <c r="J119" s="529"/>
      <c r="K119" s="529"/>
      <c r="L119" s="191"/>
      <c r="M119" s="203" t="s">
        <v>23</v>
      </c>
      <c r="N119" s="191"/>
      <c r="O119" s="191"/>
      <c r="P119" s="191"/>
      <c r="Q119" s="191"/>
      <c r="R119" s="191"/>
      <c r="S119" s="191"/>
      <c r="T119" s="191"/>
    </row>
    <row r="120" spans="1:20" ht="360">
      <c r="A120" s="203" t="s">
        <v>896</v>
      </c>
      <c r="B120" s="191" t="s">
        <v>883</v>
      </c>
      <c r="C120" s="191" t="s">
        <v>878</v>
      </c>
      <c r="D120" s="208" t="s">
        <v>884</v>
      </c>
      <c r="E120" s="208" t="s">
        <v>897</v>
      </c>
      <c r="G120" s="209" t="s">
        <v>898</v>
      </c>
      <c r="H120" s="208" t="s">
        <v>899</v>
      </c>
      <c r="I120" s="215">
        <v>5</v>
      </c>
      <c r="J120" s="530"/>
      <c r="K120" s="530"/>
      <c r="L120" s="191"/>
      <c r="M120" s="203" t="s">
        <v>23</v>
      </c>
      <c r="N120" s="191"/>
      <c r="O120" s="191"/>
      <c r="P120" s="191"/>
      <c r="Q120" s="191"/>
      <c r="R120" s="191"/>
      <c r="S120" s="191"/>
      <c r="T120" s="191"/>
    </row>
    <row r="121" spans="1:20" ht="188.25" hidden="1" customHeight="1">
      <c r="A121" s="226" t="s">
        <v>900</v>
      </c>
      <c r="B121" t="s">
        <v>901</v>
      </c>
      <c r="C121" t="s">
        <v>834</v>
      </c>
      <c r="D121" s="195" t="s">
        <v>902</v>
      </c>
      <c r="E121" s="195" t="s">
        <v>903</v>
      </c>
      <c r="G121" s="235" t="s">
        <v>904</v>
      </c>
      <c r="H121" s="195" t="s">
        <v>905</v>
      </c>
      <c r="J121"/>
      <c r="K121"/>
    </row>
    <row r="122" spans="1:20" ht="115.15" hidden="1">
      <c r="A122" s="203" t="s">
        <v>906</v>
      </c>
      <c r="B122" t="s">
        <v>901</v>
      </c>
      <c r="C122" t="s">
        <v>834</v>
      </c>
      <c r="D122" s="195" t="s">
        <v>902</v>
      </c>
      <c r="E122" s="195" t="s">
        <v>907</v>
      </c>
      <c r="G122" s="235" t="s">
        <v>908</v>
      </c>
      <c r="H122" s="195" t="s">
        <v>909</v>
      </c>
      <c r="J122"/>
      <c r="K122"/>
    </row>
    <row r="123" spans="1:20" ht="115.15" hidden="1">
      <c r="A123" s="203" t="s">
        <v>910</v>
      </c>
      <c r="B123" t="s">
        <v>901</v>
      </c>
      <c r="C123" t="s">
        <v>834</v>
      </c>
      <c r="D123" s="195" t="s">
        <v>902</v>
      </c>
      <c r="E123" s="195" t="s">
        <v>911</v>
      </c>
      <c r="G123" s="235" t="s">
        <v>912</v>
      </c>
      <c r="H123" s="195" t="s">
        <v>913</v>
      </c>
      <c r="J123"/>
      <c r="K123"/>
    </row>
    <row r="124" spans="1:20" ht="172.9" hidden="1">
      <c r="A124" s="203" t="s">
        <v>914</v>
      </c>
      <c r="B124" t="s">
        <v>915</v>
      </c>
      <c r="C124" t="s">
        <v>834</v>
      </c>
      <c r="D124" s="195" t="s">
        <v>916</v>
      </c>
      <c r="E124" s="195" t="s">
        <v>917</v>
      </c>
      <c r="G124" s="235" t="s">
        <v>918</v>
      </c>
      <c r="H124" s="195" t="s">
        <v>919</v>
      </c>
      <c r="J124"/>
      <c r="K124"/>
    </row>
    <row r="125" spans="1:20" ht="144" hidden="1">
      <c r="A125" s="203" t="s">
        <v>920</v>
      </c>
      <c r="B125" t="s">
        <v>915</v>
      </c>
      <c r="C125" t="s">
        <v>834</v>
      </c>
      <c r="D125" s="195" t="s">
        <v>916</v>
      </c>
      <c r="E125" s="195" t="s">
        <v>921</v>
      </c>
      <c r="G125" s="235" t="s">
        <v>922</v>
      </c>
      <c r="H125" s="195" t="s">
        <v>923</v>
      </c>
      <c r="J125"/>
      <c r="K125"/>
    </row>
    <row r="126" spans="1:20" ht="115.15" hidden="1">
      <c r="A126" s="203" t="s">
        <v>924</v>
      </c>
      <c r="B126" t="s">
        <v>915</v>
      </c>
      <c r="C126" t="s">
        <v>834</v>
      </c>
      <c r="D126" s="195" t="s">
        <v>916</v>
      </c>
      <c r="E126" s="195" t="s">
        <v>925</v>
      </c>
      <c r="G126" s="235" t="s">
        <v>926</v>
      </c>
      <c r="H126" s="195" t="s">
        <v>927</v>
      </c>
      <c r="J126"/>
      <c r="K126"/>
    </row>
    <row r="127" spans="1:20" ht="115.15" hidden="1">
      <c r="A127" s="203" t="s">
        <v>928</v>
      </c>
      <c r="B127" t="s">
        <v>915</v>
      </c>
      <c r="C127" t="s">
        <v>834</v>
      </c>
      <c r="D127" s="195" t="s">
        <v>916</v>
      </c>
      <c r="E127" s="195" t="s">
        <v>929</v>
      </c>
      <c r="G127" s="235" t="s">
        <v>930</v>
      </c>
      <c r="H127" s="195" t="s">
        <v>931</v>
      </c>
      <c r="J127"/>
      <c r="K127"/>
    </row>
    <row r="128" spans="1:20" ht="129.6" hidden="1">
      <c r="A128" s="203" t="s">
        <v>932</v>
      </c>
      <c r="B128" t="s">
        <v>915</v>
      </c>
      <c r="C128" t="s">
        <v>834</v>
      </c>
      <c r="D128" s="195" t="s">
        <v>916</v>
      </c>
      <c r="E128" s="195" t="s">
        <v>933</v>
      </c>
      <c r="G128" s="235" t="s">
        <v>934</v>
      </c>
      <c r="H128" s="195" t="s">
        <v>935</v>
      </c>
      <c r="J128"/>
      <c r="K128"/>
    </row>
    <row r="129" spans="1:20" ht="115.15" hidden="1">
      <c r="A129" s="203" t="s">
        <v>936</v>
      </c>
      <c r="B129" t="s">
        <v>915</v>
      </c>
      <c r="C129" t="s">
        <v>834</v>
      </c>
      <c r="D129" s="195" t="s">
        <v>916</v>
      </c>
      <c r="E129" s="195" t="s">
        <v>937</v>
      </c>
      <c r="G129" s="235" t="s">
        <v>938</v>
      </c>
      <c r="H129" s="195" t="s">
        <v>939</v>
      </c>
      <c r="J129"/>
      <c r="K129"/>
    </row>
    <row r="130" spans="1:20" ht="100.9" hidden="1">
      <c r="A130" s="203" t="s">
        <v>940</v>
      </c>
      <c r="B130" t="s">
        <v>915</v>
      </c>
      <c r="C130" t="s">
        <v>834</v>
      </c>
      <c r="D130" s="195" t="s">
        <v>916</v>
      </c>
      <c r="E130" s="195" t="s">
        <v>941</v>
      </c>
      <c r="G130" s="235" t="s">
        <v>942</v>
      </c>
      <c r="H130" s="195" t="s">
        <v>943</v>
      </c>
      <c r="J130"/>
      <c r="K130"/>
    </row>
    <row r="131" spans="1:20" ht="201.6" hidden="1">
      <c r="A131" s="203" t="s">
        <v>944</v>
      </c>
      <c r="B131" t="s">
        <v>915</v>
      </c>
      <c r="C131" t="s">
        <v>834</v>
      </c>
      <c r="D131" s="195" t="s">
        <v>916</v>
      </c>
      <c r="E131" s="195" t="s">
        <v>945</v>
      </c>
      <c r="G131" s="235" t="s">
        <v>946</v>
      </c>
      <c r="H131" s="195" t="s">
        <v>947</v>
      </c>
      <c r="J131"/>
      <c r="K131"/>
    </row>
    <row r="132" spans="1:20" ht="129.6" hidden="1">
      <c r="A132" s="203" t="s">
        <v>948</v>
      </c>
      <c r="B132" t="s">
        <v>915</v>
      </c>
      <c r="C132" t="s">
        <v>834</v>
      </c>
      <c r="D132" s="195" t="s">
        <v>916</v>
      </c>
      <c r="E132" s="195" t="s">
        <v>949</v>
      </c>
      <c r="G132" s="235" t="s">
        <v>950</v>
      </c>
      <c r="H132" s="195" t="s">
        <v>951</v>
      </c>
      <c r="J132"/>
      <c r="K132"/>
    </row>
    <row r="133" spans="1:20" ht="144" hidden="1">
      <c r="A133" s="203" t="s">
        <v>952</v>
      </c>
      <c r="B133" t="s">
        <v>915</v>
      </c>
      <c r="C133" t="s">
        <v>834</v>
      </c>
      <c r="D133" s="195" t="s">
        <v>916</v>
      </c>
      <c r="E133" s="195" t="s">
        <v>953</v>
      </c>
      <c r="G133" s="235" t="s">
        <v>954</v>
      </c>
      <c r="H133" s="195" t="s">
        <v>955</v>
      </c>
      <c r="J133"/>
      <c r="K133"/>
    </row>
    <row r="134" spans="1:20" ht="158.44999999999999" hidden="1">
      <c r="A134" s="203" t="s">
        <v>956</v>
      </c>
      <c r="B134" t="s">
        <v>250</v>
      </c>
      <c r="C134" t="s">
        <v>834</v>
      </c>
      <c r="D134" s="195" t="s">
        <v>957</v>
      </c>
      <c r="E134" s="195" t="s">
        <v>958</v>
      </c>
      <c r="G134" s="235" t="s">
        <v>959</v>
      </c>
      <c r="H134" s="195" t="s">
        <v>960</v>
      </c>
      <c r="J134"/>
      <c r="K134"/>
    </row>
    <row r="135" spans="1:20" ht="172.9" hidden="1">
      <c r="A135" s="203" t="s">
        <v>961</v>
      </c>
      <c r="B135" t="s">
        <v>250</v>
      </c>
      <c r="C135" t="s">
        <v>834</v>
      </c>
      <c r="D135" s="195" t="s">
        <v>957</v>
      </c>
      <c r="E135" s="195" t="s">
        <v>962</v>
      </c>
      <c r="G135" s="235" t="s">
        <v>963</v>
      </c>
      <c r="H135" s="195" t="s">
        <v>964</v>
      </c>
      <c r="J135"/>
      <c r="K135"/>
    </row>
    <row r="136" spans="1:20" ht="216" hidden="1">
      <c r="A136" s="203" t="s">
        <v>965</v>
      </c>
      <c r="B136" t="s">
        <v>250</v>
      </c>
      <c r="C136" t="s">
        <v>834</v>
      </c>
      <c r="D136" s="195" t="s">
        <v>957</v>
      </c>
      <c r="E136" s="195" t="s">
        <v>966</v>
      </c>
      <c r="G136" s="235" t="s">
        <v>967</v>
      </c>
      <c r="H136" s="195" t="s">
        <v>968</v>
      </c>
      <c r="J136"/>
      <c r="K136"/>
    </row>
    <row r="137" spans="1:20" ht="172.9" hidden="1">
      <c r="A137" s="203" t="s">
        <v>969</v>
      </c>
      <c r="B137" t="s">
        <v>250</v>
      </c>
      <c r="C137" t="s">
        <v>834</v>
      </c>
      <c r="D137" s="195" t="s">
        <v>957</v>
      </c>
      <c r="E137" s="195" t="s">
        <v>970</v>
      </c>
      <c r="G137" s="235" t="s">
        <v>971</v>
      </c>
      <c r="H137" s="195" t="s">
        <v>972</v>
      </c>
      <c r="J137"/>
      <c r="K137"/>
    </row>
    <row r="138" spans="1:20" ht="144" hidden="1">
      <c r="A138" s="203" t="s">
        <v>973</v>
      </c>
      <c r="B138" t="s">
        <v>250</v>
      </c>
      <c r="C138" t="s">
        <v>834</v>
      </c>
      <c r="D138" s="195" t="s">
        <v>957</v>
      </c>
      <c r="E138" s="195" t="s">
        <v>974</v>
      </c>
      <c r="G138" s="195" t="s">
        <v>975</v>
      </c>
      <c r="H138" s="195" t="s">
        <v>976</v>
      </c>
      <c r="J138"/>
      <c r="K138"/>
    </row>
    <row r="139" spans="1:20" ht="115.15" hidden="1">
      <c r="A139" s="203" t="s">
        <v>977</v>
      </c>
      <c r="B139" t="s">
        <v>250</v>
      </c>
      <c r="C139" t="s">
        <v>834</v>
      </c>
      <c r="D139" s="195" t="s">
        <v>957</v>
      </c>
      <c r="E139" s="195" t="s">
        <v>978</v>
      </c>
      <c r="G139" s="195" t="s">
        <v>979</v>
      </c>
      <c r="H139" s="195" t="s">
        <v>980</v>
      </c>
      <c r="J139"/>
      <c r="K139"/>
    </row>
    <row r="140" spans="1:20" ht="144" hidden="1">
      <c r="A140" s="203" t="s">
        <v>981</v>
      </c>
      <c r="B140" t="s">
        <v>250</v>
      </c>
      <c r="C140" t="s">
        <v>834</v>
      </c>
      <c r="D140" s="195" t="s">
        <v>957</v>
      </c>
      <c r="E140" s="195" t="s">
        <v>982</v>
      </c>
      <c r="G140" s="195" t="s">
        <v>983</v>
      </c>
      <c r="H140" s="195" t="s">
        <v>984</v>
      </c>
      <c r="J140"/>
      <c r="K140"/>
    </row>
    <row r="141" spans="1:20" ht="201.6" hidden="1">
      <c r="A141" s="203" t="s">
        <v>985</v>
      </c>
      <c r="B141" t="s">
        <v>250</v>
      </c>
      <c r="C141" t="s">
        <v>834</v>
      </c>
      <c r="D141" s="195" t="s">
        <v>957</v>
      </c>
      <c r="E141" s="195" t="s">
        <v>986</v>
      </c>
      <c r="G141" s="195" t="s">
        <v>987</v>
      </c>
      <c r="H141" s="195" t="s">
        <v>988</v>
      </c>
      <c r="J141"/>
      <c r="K141"/>
    </row>
    <row r="142" spans="1:20" ht="129.6">
      <c r="A142" s="219" t="s">
        <v>989</v>
      </c>
      <c r="B142" s="191" t="s">
        <v>990</v>
      </c>
      <c r="C142" s="191" t="s">
        <v>991</v>
      </c>
      <c r="D142" s="208" t="s">
        <v>992</v>
      </c>
      <c r="E142" s="208" t="s">
        <v>993</v>
      </c>
      <c r="G142" s="208" t="s">
        <v>994</v>
      </c>
      <c r="H142" s="208" t="s">
        <v>995</v>
      </c>
      <c r="I142" s="215">
        <v>6</v>
      </c>
      <c r="J142" s="191">
        <f>K142/8</f>
        <v>8</v>
      </c>
      <c r="K142" s="191">
        <v>64</v>
      </c>
      <c r="L142" s="191"/>
      <c r="M142" s="191"/>
      <c r="N142" s="191"/>
      <c r="O142" s="191"/>
      <c r="P142" s="191"/>
      <c r="Q142" s="191"/>
      <c r="R142" s="191"/>
      <c r="S142" s="191"/>
      <c r="T142" s="191"/>
    </row>
    <row r="143" spans="1:20" ht="115.15">
      <c r="A143" s="219" t="s">
        <v>996</v>
      </c>
      <c r="B143" s="191" t="s">
        <v>990</v>
      </c>
      <c r="C143" s="191" t="s">
        <v>991</v>
      </c>
      <c r="D143" s="208" t="s">
        <v>992</v>
      </c>
      <c r="E143" s="208" t="s">
        <v>997</v>
      </c>
      <c r="G143" s="208" t="s">
        <v>998</v>
      </c>
      <c r="H143" s="208" t="s">
        <v>999</v>
      </c>
      <c r="I143" s="215">
        <v>6</v>
      </c>
      <c r="J143" s="191"/>
      <c r="K143" s="191">
        <v>80</v>
      </c>
      <c r="L143" s="191"/>
      <c r="M143" s="191"/>
      <c r="N143" s="191"/>
      <c r="O143" s="191"/>
      <c r="P143" s="191"/>
      <c r="Q143" s="191"/>
      <c r="R143" s="191"/>
      <c r="S143" s="191"/>
      <c r="T143" s="191"/>
    </row>
    <row r="144" spans="1:20" ht="115.15">
      <c r="A144" s="219" t="s">
        <v>1000</v>
      </c>
      <c r="B144" s="191" t="s">
        <v>990</v>
      </c>
      <c r="C144" s="191" t="s">
        <v>991</v>
      </c>
      <c r="D144" s="208" t="s">
        <v>992</v>
      </c>
      <c r="E144" s="208" t="s">
        <v>1001</v>
      </c>
      <c r="G144" s="208" t="s">
        <v>1002</v>
      </c>
      <c r="H144" s="208" t="s">
        <v>1003</v>
      </c>
      <c r="I144" s="215">
        <v>6</v>
      </c>
      <c r="J144" s="191"/>
      <c r="K144" s="191"/>
      <c r="L144" s="191"/>
      <c r="M144" s="191"/>
      <c r="N144" s="191"/>
      <c r="O144" s="191"/>
      <c r="P144" s="191"/>
      <c r="Q144" s="191"/>
      <c r="R144" s="191"/>
      <c r="S144" s="191"/>
      <c r="T144" s="191"/>
    </row>
    <row r="145" spans="1:20" ht="100.9">
      <c r="A145" t="s">
        <v>1004</v>
      </c>
      <c r="B145" s="191" t="s">
        <v>990</v>
      </c>
      <c r="C145" s="191" t="s">
        <v>991</v>
      </c>
      <c r="D145" s="208" t="s">
        <v>992</v>
      </c>
      <c r="E145" s="208" t="s">
        <v>1005</v>
      </c>
      <c r="G145" s="208" t="s">
        <v>1006</v>
      </c>
      <c r="H145" s="208" t="s">
        <v>1007</v>
      </c>
      <c r="I145" s="215">
        <v>6</v>
      </c>
      <c r="J145" s="191"/>
      <c r="K145" s="191"/>
      <c r="L145" s="191"/>
      <c r="M145" s="191"/>
      <c r="N145" s="191"/>
      <c r="O145" s="191"/>
      <c r="P145" s="191"/>
      <c r="Q145" s="191"/>
      <c r="R145" s="191"/>
      <c r="S145" s="191"/>
      <c r="T145" s="191"/>
    </row>
    <row r="146" spans="1:20" ht="115.15">
      <c r="A146" t="s">
        <v>1008</v>
      </c>
      <c r="B146" s="191" t="s">
        <v>990</v>
      </c>
      <c r="C146" s="191" t="s">
        <v>991</v>
      </c>
      <c r="D146" s="208" t="s">
        <v>992</v>
      </c>
      <c r="E146" s="208" t="s">
        <v>1009</v>
      </c>
      <c r="G146" s="208" t="s">
        <v>1010</v>
      </c>
      <c r="H146" s="208" t="s">
        <v>1011</v>
      </c>
      <c r="I146" s="215">
        <v>6</v>
      </c>
      <c r="J146" s="191"/>
      <c r="K146" s="191"/>
      <c r="L146" s="191"/>
      <c r="M146" s="191"/>
      <c r="N146" s="191"/>
      <c r="O146" s="191"/>
      <c r="P146" s="191"/>
      <c r="Q146" s="191"/>
      <c r="R146" s="191"/>
      <c r="S146" s="191"/>
      <c r="T146" s="191"/>
    </row>
    <row r="147" spans="1:20" ht="129.6">
      <c r="A147" t="s">
        <v>1012</v>
      </c>
      <c r="B147" s="191" t="s">
        <v>1013</v>
      </c>
      <c r="C147" s="191" t="s">
        <v>991</v>
      </c>
      <c r="D147" s="208" t="s">
        <v>1014</v>
      </c>
      <c r="E147" s="208" t="s">
        <v>1015</v>
      </c>
      <c r="G147" s="208" t="s">
        <v>1016</v>
      </c>
      <c r="H147" s="208" t="s">
        <v>1017</v>
      </c>
      <c r="I147" s="215">
        <v>6</v>
      </c>
      <c r="J147" s="191"/>
      <c r="K147" s="191"/>
      <c r="L147" s="191"/>
      <c r="M147" s="191"/>
      <c r="N147" s="191"/>
      <c r="O147" s="191"/>
      <c r="P147" s="191"/>
      <c r="Q147" s="191"/>
      <c r="R147" s="191"/>
      <c r="S147" s="191"/>
      <c r="T147" s="191"/>
    </row>
    <row r="148" spans="1:20" ht="144">
      <c r="A148" t="s">
        <v>1018</v>
      </c>
      <c r="B148" s="191" t="s">
        <v>1013</v>
      </c>
      <c r="C148" s="191" t="s">
        <v>991</v>
      </c>
      <c r="D148" s="208" t="s">
        <v>1019</v>
      </c>
      <c r="E148" s="208" t="s">
        <v>1020</v>
      </c>
      <c r="G148" s="208" t="s">
        <v>1021</v>
      </c>
      <c r="H148" s="208" t="s">
        <v>1022</v>
      </c>
      <c r="I148" s="215">
        <v>6</v>
      </c>
      <c r="J148" s="191"/>
      <c r="K148" s="191"/>
      <c r="L148" s="191"/>
      <c r="M148" s="191"/>
      <c r="N148" s="191"/>
      <c r="O148" s="191"/>
      <c r="P148" s="191"/>
      <c r="Q148" s="191"/>
      <c r="R148" s="191"/>
      <c r="S148" s="191"/>
      <c r="T148" s="191"/>
    </row>
    <row r="149" spans="1:20" ht="187.15">
      <c r="A149" t="s">
        <v>1023</v>
      </c>
      <c r="B149" s="191" t="s">
        <v>1013</v>
      </c>
      <c r="C149" s="191" t="s">
        <v>991</v>
      </c>
      <c r="D149" s="208" t="s">
        <v>1019</v>
      </c>
      <c r="E149" s="208" t="s">
        <v>1024</v>
      </c>
      <c r="G149" s="208" t="s">
        <v>1025</v>
      </c>
      <c r="H149" s="208" t="s">
        <v>1026</v>
      </c>
      <c r="I149" s="215">
        <v>7</v>
      </c>
      <c r="J149" s="191"/>
      <c r="K149" s="191"/>
      <c r="L149" s="191"/>
      <c r="M149" s="191"/>
      <c r="N149" s="191"/>
      <c r="O149" s="191"/>
      <c r="P149" s="191"/>
      <c r="Q149" s="191"/>
      <c r="R149" s="191"/>
      <c r="S149" s="191"/>
      <c r="T149" s="191"/>
    </row>
    <row r="150" spans="1:20" ht="115.15">
      <c r="A150" t="s">
        <v>1027</v>
      </c>
      <c r="B150" s="191" t="s">
        <v>1013</v>
      </c>
      <c r="C150" s="191" t="s">
        <v>991</v>
      </c>
      <c r="D150" s="208" t="s">
        <v>1019</v>
      </c>
      <c r="E150" s="208" t="s">
        <v>1028</v>
      </c>
      <c r="G150" s="208" t="s">
        <v>1029</v>
      </c>
      <c r="H150" s="208" t="s">
        <v>1030</v>
      </c>
      <c r="I150" s="215">
        <v>7</v>
      </c>
      <c r="J150" s="191"/>
      <c r="K150" s="191"/>
      <c r="L150" s="191"/>
      <c r="M150" s="191"/>
      <c r="N150" s="191"/>
      <c r="O150" s="191"/>
      <c r="P150" s="191"/>
      <c r="Q150" s="191"/>
      <c r="R150" s="191"/>
      <c r="S150" s="191"/>
      <c r="T150" s="191"/>
    </row>
    <row r="151" spans="1:20" ht="129.6">
      <c r="A151" t="s">
        <v>1031</v>
      </c>
      <c r="B151" s="191" t="s">
        <v>1013</v>
      </c>
      <c r="C151" s="191" t="s">
        <v>991</v>
      </c>
      <c r="D151" s="208" t="s">
        <v>1019</v>
      </c>
      <c r="E151" s="208" t="s">
        <v>1032</v>
      </c>
      <c r="G151" s="208" t="s">
        <v>1033</v>
      </c>
      <c r="H151" s="208" t="s">
        <v>1034</v>
      </c>
      <c r="I151" s="215">
        <v>7</v>
      </c>
      <c r="J151" s="191"/>
      <c r="K151" s="191"/>
      <c r="L151" s="191"/>
      <c r="M151" s="191"/>
      <c r="N151" s="191"/>
      <c r="O151" s="191"/>
      <c r="P151" s="191"/>
      <c r="Q151" s="191"/>
      <c r="R151" s="191"/>
      <c r="S151" s="191"/>
      <c r="T151" s="191"/>
    </row>
    <row r="152" spans="1:20" ht="115.15">
      <c r="A152" t="s">
        <v>1035</v>
      </c>
      <c r="B152" s="191" t="s">
        <v>1013</v>
      </c>
      <c r="C152" s="191" t="s">
        <v>991</v>
      </c>
      <c r="D152" s="208" t="s">
        <v>1019</v>
      </c>
      <c r="E152" s="208" t="s">
        <v>1036</v>
      </c>
      <c r="G152" s="208" t="s">
        <v>1037</v>
      </c>
      <c r="H152" s="208" t="s">
        <v>1038</v>
      </c>
      <c r="I152" s="215">
        <v>7</v>
      </c>
      <c r="J152" s="191"/>
      <c r="K152" s="191"/>
      <c r="L152" s="191"/>
      <c r="M152" s="191"/>
      <c r="N152" s="191"/>
      <c r="O152" s="191"/>
      <c r="P152" s="191"/>
      <c r="Q152" s="191"/>
      <c r="R152" s="191"/>
      <c r="S152" s="191"/>
      <c r="T152" s="191"/>
    </row>
    <row r="153" spans="1:20" ht="129.6">
      <c r="A153" t="s">
        <v>1039</v>
      </c>
      <c r="B153" s="191" t="s">
        <v>1013</v>
      </c>
      <c r="C153" s="191" t="s">
        <v>991</v>
      </c>
      <c r="D153" s="191" t="s">
        <v>1040</v>
      </c>
      <c r="E153" s="208" t="s">
        <v>1041</v>
      </c>
      <c r="G153" s="208" t="s">
        <v>1042</v>
      </c>
      <c r="H153" s="208" t="s">
        <v>1043</v>
      </c>
      <c r="I153" s="215">
        <v>7</v>
      </c>
      <c r="J153" s="191"/>
      <c r="K153" s="191"/>
      <c r="L153" s="191"/>
      <c r="M153" s="191"/>
      <c r="N153" s="191"/>
      <c r="O153" s="191"/>
      <c r="P153" s="191"/>
      <c r="Q153" s="191"/>
      <c r="R153" s="191"/>
      <c r="S153" s="191"/>
      <c r="T153" s="191"/>
    </row>
    <row r="154" spans="1:20" ht="158.44999999999999">
      <c r="A154" t="s">
        <v>1044</v>
      </c>
      <c r="B154" s="191" t="s">
        <v>1013</v>
      </c>
      <c r="C154" s="191" t="s">
        <v>991</v>
      </c>
      <c r="D154" s="191" t="s">
        <v>1045</v>
      </c>
      <c r="E154" s="208" t="s">
        <v>1046</v>
      </c>
      <c r="G154" s="208" t="s">
        <v>1047</v>
      </c>
      <c r="H154" s="208" t="s">
        <v>1048</v>
      </c>
      <c r="I154" s="215">
        <v>7</v>
      </c>
      <c r="J154" s="191"/>
      <c r="K154" s="191"/>
      <c r="L154" s="191"/>
      <c r="M154" s="191"/>
      <c r="N154" s="191"/>
      <c r="O154" s="191"/>
      <c r="P154" s="191"/>
      <c r="Q154" s="191"/>
      <c r="R154" s="191"/>
      <c r="S154" s="191"/>
      <c r="T154" s="191"/>
    </row>
    <row r="155" spans="1:20" ht="115.15">
      <c r="A155" t="s">
        <v>1049</v>
      </c>
      <c r="B155" s="191" t="s">
        <v>1013</v>
      </c>
      <c r="C155" s="191" t="s">
        <v>991</v>
      </c>
      <c r="D155" s="191" t="s">
        <v>1050</v>
      </c>
      <c r="E155" s="208" t="s">
        <v>1051</v>
      </c>
      <c r="G155" s="208" t="s">
        <v>1052</v>
      </c>
      <c r="H155" s="208" t="s">
        <v>1053</v>
      </c>
      <c r="I155" s="215">
        <v>7</v>
      </c>
      <c r="J155" s="191"/>
      <c r="K155" s="191"/>
      <c r="L155" s="191"/>
      <c r="M155" s="191"/>
      <c r="N155" s="191"/>
      <c r="O155" s="191"/>
      <c r="P155" s="191"/>
      <c r="Q155" s="191"/>
      <c r="R155" s="191"/>
      <c r="S155" s="191"/>
      <c r="T155" s="191"/>
    </row>
    <row r="156" spans="1:20" ht="100.9">
      <c r="A156" t="s">
        <v>1054</v>
      </c>
      <c r="B156" s="191" t="s">
        <v>1013</v>
      </c>
      <c r="C156" s="191" t="s">
        <v>991</v>
      </c>
      <c r="D156" s="191" t="s">
        <v>1055</v>
      </c>
      <c r="E156" s="208" t="s">
        <v>1056</v>
      </c>
      <c r="G156" s="208" t="s">
        <v>1057</v>
      </c>
      <c r="H156" s="208" t="s">
        <v>1058</v>
      </c>
      <c r="I156" s="215">
        <v>7</v>
      </c>
      <c r="J156" s="191"/>
      <c r="K156" s="191"/>
      <c r="L156" s="191"/>
      <c r="M156" s="191"/>
      <c r="N156" s="191"/>
      <c r="O156" s="191"/>
      <c r="P156" s="191"/>
      <c r="Q156" s="191"/>
      <c r="R156" s="191"/>
      <c r="S156" s="191"/>
      <c r="T156" s="191"/>
    </row>
    <row r="157" spans="1:20" ht="100.9">
      <c r="A157" t="s">
        <v>1059</v>
      </c>
      <c r="B157" s="191" t="s">
        <v>1013</v>
      </c>
      <c r="C157" s="191" t="s">
        <v>991</v>
      </c>
      <c r="D157" s="191" t="s">
        <v>1060</v>
      </c>
      <c r="E157" s="208" t="s">
        <v>1061</v>
      </c>
      <c r="G157" s="208" t="s">
        <v>1062</v>
      </c>
      <c r="H157" s="208" t="s">
        <v>1063</v>
      </c>
      <c r="I157" s="215"/>
      <c r="J157" s="191"/>
      <c r="K157" s="191"/>
      <c r="L157" s="191"/>
      <c r="M157" s="191"/>
      <c r="N157" s="191"/>
      <c r="O157" s="191"/>
      <c r="P157" s="191"/>
      <c r="Q157" s="191"/>
      <c r="R157" s="191"/>
      <c r="S157" s="191"/>
      <c r="T157" s="191"/>
    </row>
    <row r="158" spans="1:20" ht="158.44999999999999">
      <c r="A158" t="s">
        <v>1064</v>
      </c>
      <c r="B158" s="191" t="s">
        <v>1013</v>
      </c>
      <c r="C158" s="191" t="s">
        <v>991</v>
      </c>
      <c r="D158" s="191" t="s">
        <v>1065</v>
      </c>
      <c r="E158" s="208" t="s">
        <v>1066</v>
      </c>
      <c r="G158" s="208" t="s">
        <v>1067</v>
      </c>
      <c r="H158" s="208" t="s">
        <v>1068</v>
      </c>
      <c r="I158" s="215">
        <v>7</v>
      </c>
      <c r="J158" s="191"/>
      <c r="K158" s="191"/>
      <c r="L158" s="191"/>
      <c r="M158" s="191"/>
      <c r="N158" s="191"/>
      <c r="O158" s="191"/>
      <c r="P158" s="191"/>
      <c r="Q158" s="191"/>
      <c r="R158" s="191"/>
      <c r="S158" s="191"/>
      <c r="T158" s="191"/>
    </row>
    <row r="159" spans="1:20" ht="129.6">
      <c r="A159" t="s">
        <v>1069</v>
      </c>
      <c r="B159" s="191" t="s">
        <v>1013</v>
      </c>
      <c r="C159" s="191" t="s">
        <v>991</v>
      </c>
      <c r="D159" s="191" t="s">
        <v>1065</v>
      </c>
      <c r="E159" s="208" t="s">
        <v>1070</v>
      </c>
      <c r="G159" s="208" t="s">
        <v>1071</v>
      </c>
      <c r="H159" s="208" t="s">
        <v>1072</v>
      </c>
      <c r="I159" s="215">
        <v>7</v>
      </c>
      <c r="J159" s="191"/>
      <c r="K159" s="191"/>
      <c r="L159" s="191"/>
      <c r="M159" s="191"/>
      <c r="N159" s="191"/>
      <c r="O159" s="191"/>
      <c r="P159" s="191"/>
      <c r="Q159" s="191"/>
      <c r="R159" s="191"/>
      <c r="S159" s="191"/>
      <c r="T159" s="191"/>
    </row>
    <row r="160" spans="1:20" ht="158.44999999999999">
      <c r="A160" t="s">
        <v>1073</v>
      </c>
      <c r="B160" s="191" t="s">
        <v>1013</v>
      </c>
      <c r="C160" s="191" t="s">
        <v>991</v>
      </c>
      <c r="D160" s="191" t="s">
        <v>1074</v>
      </c>
      <c r="E160" s="208" t="s">
        <v>1075</v>
      </c>
      <c r="G160" s="208" t="s">
        <v>1076</v>
      </c>
      <c r="H160" s="208" t="s">
        <v>1077</v>
      </c>
      <c r="I160" s="215">
        <v>7</v>
      </c>
      <c r="J160" s="191"/>
      <c r="K160" s="191"/>
      <c r="L160" s="191"/>
      <c r="M160" s="191"/>
      <c r="N160" s="191"/>
      <c r="O160" s="191"/>
      <c r="P160" s="191"/>
      <c r="Q160" s="191"/>
      <c r="R160" s="191"/>
      <c r="S160" s="191"/>
      <c r="T160" s="191"/>
    </row>
    <row r="161" spans="1:20" ht="144">
      <c r="A161" t="s">
        <v>1078</v>
      </c>
      <c r="B161" s="191" t="s">
        <v>1013</v>
      </c>
      <c r="C161" s="191" t="s">
        <v>991</v>
      </c>
      <c r="D161" s="191" t="s">
        <v>1074</v>
      </c>
      <c r="E161" s="208" t="s">
        <v>1079</v>
      </c>
      <c r="G161" s="208" t="s">
        <v>1080</v>
      </c>
      <c r="H161" s="208" t="s">
        <v>1081</v>
      </c>
      <c r="I161" s="215">
        <v>7</v>
      </c>
      <c r="J161" s="191"/>
      <c r="K161" s="191"/>
      <c r="L161" s="191"/>
      <c r="M161" s="191"/>
      <c r="N161" s="191"/>
      <c r="O161" s="191"/>
      <c r="P161" s="191"/>
      <c r="Q161" s="191"/>
      <c r="R161" s="191"/>
      <c r="S161" s="191"/>
      <c r="T161" s="191"/>
    </row>
    <row r="162" spans="1:20" ht="129.6">
      <c r="A162" t="s">
        <v>1082</v>
      </c>
      <c r="B162" s="191" t="s">
        <v>1013</v>
      </c>
      <c r="C162" s="191" t="s">
        <v>991</v>
      </c>
      <c r="D162" s="191" t="s">
        <v>1074</v>
      </c>
      <c r="E162" s="208" t="s">
        <v>1083</v>
      </c>
      <c r="G162" s="208" t="s">
        <v>1084</v>
      </c>
      <c r="H162" s="208" t="s">
        <v>1085</v>
      </c>
      <c r="I162" s="215">
        <v>7</v>
      </c>
      <c r="J162" s="191"/>
      <c r="K162" s="191"/>
      <c r="L162" s="191"/>
      <c r="M162" s="191"/>
      <c r="N162" s="191"/>
      <c r="O162" s="191"/>
      <c r="P162" s="191"/>
      <c r="Q162" s="191"/>
      <c r="R162" s="191"/>
      <c r="S162" s="191"/>
      <c r="T162" s="191"/>
    </row>
    <row r="163" spans="1:20" ht="201.6">
      <c r="A163" t="s">
        <v>1086</v>
      </c>
      <c r="B163" s="191" t="s">
        <v>1087</v>
      </c>
      <c r="C163" s="191" t="s">
        <v>991</v>
      </c>
      <c r="D163" s="191" t="s">
        <v>1088</v>
      </c>
      <c r="E163" s="208" t="s">
        <v>1089</v>
      </c>
      <c r="G163" s="208" t="s">
        <v>1090</v>
      </c>
      <c r="H163" s="208" t="s">
        <v>1091</v>
      </c>
      <c r="I163" s="215">
        <v>7</v>
      </c>
      <c r="J163" s="191"/>
      <c r="K163" s="191"/>
      <c r="L163" s="191"/>
      <c r="M163" s="191"/>
      <c r="N163" s="191"/>
      <c r="O163" s="191"/>
      <c r="P163" s="191"/>
      <c r="Q163" s="191"/>
      <c r="R163" s="191"/>
      <c r="S163" s="191"/>
      <c r="T163" s="191"/>
    </row>
    <row r="164" spans="1:20" ht="144">
      <c r="B164" s="191" t="s">
        <v>1087</v>
      </c>
      <c r="C164" s="191" t="s">
        <v>991</v>
      </c>
      <c r="D164" s="191" t="s">
        <v>1088</v>
      </c>
      <c r="E164" s="208" t="s">
        <v>1092</v>
      </c>
      <c r="G164" s="208" t="s">
        <v>1093</v>
      </c>
      <c r="H164" s="208" t="s">
        <v>1094</v>
      </c>
      <c r="I164" s="215">
        <v>7</v>
      </c>
      <c r="J164" s="191"/>
      <c r="K164" s="191"/>
      <c r="L164" s="191"/>
      <c r="M164" s="191"/>
      <c r="N164" s="191"/>
      <c r="O164" s="191"/>
      <c r="P164" s="191"/>
      <c r="Q164" s="191"/>
      <c r="R164" s="191"/>
      <c r="S164" s="191"/>
      <c r="T164" s="191"/>
    </row>
    <row r="165" spans="1:20" ht="129.6">
      <c r="B165" s="191" t="s">
        <v>1087</v>
      </c>
      <c r="C165" s="191" t="s">
        <v>991</v>
      </c>
      <c r="D165" s="191" t="s">
        <v>1088</v>
      </c>
      <c r="E165" s="208" t="s">
        <v>1095</v>
      </c>
      <c r="G165" s="208" t="s">
        <v>1096</v>
      </c>
      <c r="H165" s="208" t="s">
        <v>1097</v>
      </c>
      <c r="I165" s="215">
        <v>7</v>
      </c>
      <c r="J165" s="191"/>
      <c r="K165" s="191"/>
      <c r="L165" s="191"/>
      <c r="M165" s="191"/>
      <c r="N165" s="191"/>
      <c r="O165" s="191"/>
      <c r="P165" s="191"/>
      <c r="Q165" s="191"/>
      <c r="R165" s="191"/>
      <c r="S165" s="191"/>
      <c r="T165" s="191"/>
    </row>
    <row r="166" spans="1:20" ht="115.15">
      <c r="B166" s="191" t="s">
        <v>1087</v>
      </c>
      <c r="C166" s="191" t="s">
        <v>991</v>
      </c>
      <c r="D166" s="191" t="s">
        <v>1088</v>
      </c>
      <c r="E166" s="208" t="s">
        <v>1098</v>
      </c>
      <c r="G166" s="208" t="s">
        <v>1099</v>
      </c>
      <c r="H166" s="208" t="s">
        <v>1100</v>
      </c>
      <c r="I166" s="215">
        <v>7</v>
      </c>
      <c r="J166" s="191"/>
      <c r="K166" s="191"/>
      <c r="L166" s="191"/>
      <c r="M166" s="191"/>
      <c r="N166" s="191"/>
      <c r="O166" s="191"/>
      <c r="P166" s="191"/>
      <c r="Q166" s="191"/>
      <c r="R166" s="191"/>
      <c r="S166" s="191"/>
      <c r="T166" s="191"/>
    </row>
    <row r="167" spans="1:20" ht="144">
      <c r="B167" s="191" t="s">
        <v>1087</v>
      </c>
      <c r="C167" s="191" t="s">
        <v>991</v>
      </c>
      <c r="D167" s="191" t="s">
        <v>1088</v>
      </c>
      <c r="E167" s="208" t="s">
        <v>1101</v>
      </c>
      <c r="G167" s="208" t="s">
        <v>1102</v>
      </c>
      <c r="H167" s="208" t="s">
        <v>1103</v>
      </c>
      <c r="I167" s="215">
        <v>7</v>
      </c>
      <c r="J167" s="191"/>
      <c r="K167" s="191"/>
      <c r="L167" s="191"/>
      <c r="M167" s="191"/>
      <c r="N167" s="191"/>
      <c r="O167" s="191"/>
      <c r="P167" s="191"/>
      <c r="Q167" s="191"/>
      <c r="R167" s="191"/>
      <c r="S167" s="191"/>
      <c r="T167" s="191"/>
    </row>
    <row r="168" spans="1:20" ht="100.9">
      <c r="B168" s="191" t="s">
        <v>1087</v>
      </c>
      <c r="C168" s="191" t="s">
        <v>991</v>
      </c>
      <c r="D168" s="191" t="s">
        <v>1088</v>
      </c>
      <c r="E168" s="208" t="s">
        <v>1104</v>
      </c>
      <c r="G168" s="208" t="s">
        <v>1105</v>
      </c>
      <c r="H168" s="208" t="s">
        <v>1106</v>
      </c>
      <c r="I168" s="215">
        <v>7</v>
      </c>
      <c r="J168" s="191"/>
      <c r="K168" s="191"/>
      <c r="L168" s="191"/>
      <c r="M168" s="191"/>
      <c r="N168" s="191"/>
      <c r="O168" s="191"/>
      <c r="P168" s="191"/>
      <c r="Q168" s="191"/>
      <c r="R168" s="191"/>
      <c r="S168" s="191"/>
      <c r="T168" s="191"/>
    </row>
  </sheetData>
  <autoFilter ref="A3:T168" xr:uid="{C05F3381-2FDA-4D64-B830-9D8250954AA0}">
    <filterColumn colId="2">
      <filters>
        <filter val="Census"/>
        <filter val="Census Update for Synergy"/>
        <filter val="Output Generation"/>
        <filter val="Project Creation (Confirm and Launch)"/>
        <filter val="Project Creation (Landing Page and authentication)"/>
        <filter val="Project Creation (Project Creation Wizard)"/>
        <filter val="Project Creation (Section Navigation)"/>
        <filter val="Spend (for Synergy)"/>
        <filter val="Spend for Synergy"/>
      </filters>
    </filterColumn>
  </autoFilter>
  <mergeCells count="9">
    <mergeCell ref="K52:K54"/>
    <mergeCell ref="J52:J54"/>
    <mergeCell ref="K117:K120"/>
    <mergeCell ref="J117:J120"/>
    <mergeCell ref="B1:F1"/>
    <mergeCell ref="A4:T4"/>
    <mergeCell ref="A28:T28"/>
    <mergeCell ref="K29:K31"/>
    <mergeCell ref="J29:J3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B8EBA-86E4-41A9-8954-5A1465B10B42}">
  <dimension ref="A1:N36"/>
  <sheetViews>
    <sheetView tabSelected="1" topLeftCell="A13" workbookViewId="0">
      <selection sqref="A1:K1048576"/>
    </sheetView>
  </sheetViews>
  <sheetFormatPr defaultRowHeight="15"/>
  <cols>
    <col min="1" max="1" width="9.140625" style="202"/>
    <col min="2" max="2" width="17.28515625" style="202" customWidth="1"/>
    <col min="3" max="3" width="23.140625" style="202" customWidth="1"/>
    <col min="4" max="4" width="22.28515625" style="202" customWidth="1"/>
    <col min="5" max="5" width="53.85546875" style="202" customWidth="1"/>
    <col min="6" max="6" width="45.5703125" style="202" customWidth="1"/>
    <col min="7" max="7" width="52.85546875" style="202" customWidth="1"/>
    <col min="8" max="11" width="9.140625" style="202"/>
  </cols>
  <sheetData>
    <row r="1" spans="1:14" ht="26.25">
      <c r="A1" s="557"/>
      <c r="B1" s="558" t="s">
        <v>0</v>
      </c>
      <c r="C1" s="558"/>
      <c r="D1" s="558"/>
      <c r="E1" s="558"/>
      <c r="F1" s="559"/>
      <c r="G1" s="557"/>
      <c r="H1" s="560"/>
      <c r="I1" s="560"/>
      <c r="J1" s="560"/>
      <c r="K1" s="557"/>
      <c r="L1" s="4"/>
      <c r="M1" s="17"/>
      <c r="N1" s="3"/>
    </row>
    <row r="2" spans="1:14">
      <c r="A2" s="557"/>
      <c r="B2" s="561"/>
      <c r="C2" s="560"/>
      <c r="D2" s="557"/>
      <c r="E2" s="203"/>
      <c r="F2" s="557"/>
      <c r="G2" s="557"/>
      <c r="H2" s="560"/>
      <c r="I2" s="560"/>
      <c r="J2" s="560"/>
      <c r="K2" s="557"/>
      <c r="L2" s="4"/>
      <c r="M2" s="17"/>
      <c r="N2" s="3"/>
    </row>
    <row r="3" spans="1:14" ht="29.25">
      <c r="A3" s="196" t="s">
        <v>363</v>
      </c>
      <c r="B3" s="216" t="s">
        <v>2</v>
      </c>
      <c r="C3" s="197" t="s">
        <v>3</v>
      </c>
      <c r="D3" s="361" t="s">
        <v>4</v>
      </c>
      <c r="E3" s="198" t="s">
        <v>5</v>
      </c>
      <c r="F3" s="199" t="s">
        <v>364</v>
      </c>
      <c r="G3" s="200" t="s">
        <v>7</v>
      </c>
      <c r="H3" s="201" t="s">
        <v>365</v>
      </c>
      <c r="I3" s="201" t="s">
        <v>366</v>
      </c>
      <c r="J3" s="201" t="s">
        <v>367</v>
      </c>
      <c r="K3" s="201" t="s">
        <v>368</v>
      </c>
      <c r="L3" s="200" t="s">
        <v>9</v>
      </c>
      <c r="M3" s="200" t="s">
        <v>15</v>
      </c>
      <c r="N3" s="200" t="s">
        <v>16</v>
      </c>
    </row>
    <row r="4" spans="1:14" ht="237" customHeight="1">
      <c r="A4" s="203" t="s">
        <v>370</v>
      </c>
      <c r="B4" s="204" t="s">
        <v>17</v>
      </c>
      <c r="C4" s="203" t="s">
        <v>371</v>
      </c>
      <c r="D4" s="203" t="s">
        <v>372</v>
      </c>
      <c r="E4" s="203" t="s">
        <v>373</v>
      </c>
      <c r="F4" s="205" t="s">
        <v>374</v>
      </c>
      <c r="G4" s="203" t="s">
        <v>375</v>
      </c>
      <c r="H4" s="562">
        <v>1</v>
      </c>
      <c r="I4" s="562">
        <f>J4/8</f>
        <v>1</v>
      </c>
      <c r="J4" s="562">
        <v>8</v>
      </c>
      <c r="K4" s="203"/>
      <c r="L4" s="203" t="s">
        <v>23</v>
      </c>
      <c r="M4" s="203" t="s">
        <v>376</v>
      </c>
      <c r="N4" s="203" t="s">
        <v>377</v>
      </c>
    </row>
    <row r="5" spans="1:14" ht="227.25" customHeight="1">
      <c r="A5" s="203" t="s">
        <v>378</v>
      </c>
      <c r="B5" s="204" t="s">
        <v>17</v>
      </c>
      <c r="C5" s="203" t="s">
        <v>371</v>
      </c>
      <c r="D5" s="203" t="s">
        <v>379</v>
      </c>
      <c r="E5" s="203" t="s">
        <v>380</v>
      </c>
      <c r="F5" s="205" t="s">
        <v>381</v>
      </c>
      <c r="G5" s="203" t="s">
        <v>382</v>
      </c>
      <c r="H5" s="561">
        <v>1</v>
      </c>
      <c r="I5" s="562">
        <f t="shared" ref="I5:I26" si="0">J5/8</f>
        <v>1</v>
      </c>
      <c r="J5" s="561">
        <v>8</v>
      </c>
      <c r="K5" s="206"/>
      <c r="L5" s="203" t="s">
        <v>23</v>
      </c>
      <c r="M5" s="203" t="s">
        <v>376</v>
      </c>
      <c r="N5" s="203" t="s">
        <v>377</v>
      </c>
    </row>
    <row r="6" spans="1:14" ht="218.25" customHeight="1">
      <c r="A6" s="203" t="s">
        <v>383</v>
      </c>
      <c r="B6" s="204" t="s">
        <v>17</v>
      </c>
      <c r="C6" s="203" t="s">
        <v>371</v>
      </c>
      <c r="D6" s="203" t="s">
        <v>384</v>
      </c>
      <c r="E6" s="203" t="s">
        <v>385</v>
      </c>
      <c r="F6" s="205" t="s">
        <v>386</v>
      </c>
      <c r="G6" s="203" t="s">
        <v>387</v>
      </c>
      <c r="H6" s="561">
        <v>1</v>
      </c>
      <c r="I6" s="562">
        <f t="shared" si="0"/>
        <v>1</v>
      </c>
      <c r="J6" s="561">
        <v>8</v>
      </c>
      <c r="K6" s="206"/>
      <c r="L6" s="203" t="s">
        <v>23</v>
      </c>
      <c r="M6" s="203" t="s">
        <v>376</v>
      </c>
      <c r="N6" s="203" t="s">
        <v>377</v>
      </c>
    </row>
    <row r="7" spans="1:14" ht="341.25" customHeight="1">
      <c r="A7" s="203" t="s">
        <v>388</v>
      </c>
      <c r="B7" s="204" t="s">
        <v>17</v>
      </c>
      <c r="C7" s="203" t="s">
        <v>371</v>
      </c>
      <c r="D7" s="203" t="s">
        <v>389</v>
      </c>
      <c r="E7" s="203" t="s">
        <v>390</v>
      </c>
      <c r="F7" s="207" t="s">
        <v>391</v>
      </c>
      <c r="G7" s="203" t="s">
        <v>392</v>
      </c>
      <c r="H7" s="561">
        <v>1</v>
      </c>
      <c r="I7" s="562">
        <f t="shared" si="0"/>
        <v>2</v>
      </c>
      <c r="J7" s="561">
        <v>16</v>
      </c>
      <c r="K7" s="206"/>
      <c r="L7" s="203" t="s">
        <v>23</v>
      </c>
      <c r="M7" s="206" t="s">
        <v>245</v>
      </c>
      <c r="N7" s="203" t="s">
        <v>393</v>
      </c>
    </row>
    <row r="8" spans="1:14" ht="124.5" customHeight="1">
      <c r="A8" s="203" t="s">
        <v>394</v>
      </c>
      <c r="B8" s="204" t="s">
        <v>17</v>
      </c>
      <c r="C8" s="203" t="s">
        <v>371</v>
      </c>
      <c r="D8" s="203" t="s">
        <v>395</v>
      </c>
      <c r="E8" s="203" t="s">
        <v>396</v>
      </c>
      <c r="F8" s="205" t="s">
        <v>397</v>
      </c>
      <c r="G8" s="203" t="s">
        <v>398</v>
      </c>
      <c r="H8" s="561">
        <v>1</v>
      </c>
      <c r="I8" s="562">
        <f t="shared" si="0"/>
        <v>2</v>
      </c>
      <c r="J8" s="561">
        <v>16</v>
      </c>
      <c r="K8" s="206"/>
      <c r="L8" s="203" t="s">
        <v>23</v>
      </c>
      <c r="M8" s="206" t="s">
        <v>245</v>
      </c>
      <c r="N8" s="203" t="s">
        <v>393</v>
      </c>
    </row>
    <row r="9" spans="1:14" ht="409.6">
      <c r="A9" s="203" t="s">
        <v>399</v>
      </c>
      <c r="B9" s="204" t="s">
        <v>17</v>
      </c>
      <c r="C9" s="203" t="s">
        <v>371</v>
      </c>
      <c r="D9" s="203" t="s">
        <v>400</v>
      </c>
      <c r="E9" s="203" t="s">
        <v>401</v>
      </c>
      <c r="F9" s="207" t="s">
        <v>402</v>
      </c>
      <c r="G9" s="203" t="s">
        <v>403</v>
      </c>
      <c r="H9" s="561">
        <v>1</v>
      </c>
      <c r="I9" s="562">
        <f t="shared" si="0"/>
        <v>2</v>
      </c>
      <c r="J9" s="561">
        <v>16</v>
      </c>
      <c r="K9" s="206"/>
      <c r="L9" s="203" t="s">
        <v>23</v>
      </c>
      <c r="M9" s="206" t="s">
        <v>245</v>
      </c>
      <c r="N9" s="203" t="s">
        <v>404</v>
      </c>
    </row>
    <row r="10" spans="1:14" ht="221.25" customHeight="1">
      <c r="A10" s="203" t="s">
        <v>405</v>
      </c>
      <c r="B10" s="206" t="s">
        <v>369</v>
      </c>
      <c r="C10" s="203" t="s">
        <v>406</v>
      </c>
      <c r="D10" s="203" t="s">
        <v>407</v>
      </c>
      <c r="E10" s="203" t="s">
        <v>408</v>
      </c>
      <c r="F10" s="205" t="s">
        <v>409</v>
      </c>
      <c r="G10" s="203" t="s">
        <v>410</v>
      </c>
      <c r="H10" s="561">
        <v>1</v>
      </c>
      <c r="I10" s="562">
        <f t="shared" si="0"/>
        <v>1</v>
      </c>
      <c r="J10" s="561">
        <v>8</v>
      </c>
      <c r="K10" s="206"/>
      <c r="L10" s="203" t="s">
        <v>23</v>
      </c>
      <c r="M10" s="206" t="s">
        <v>245</v>
      </c>
      <c r="N10" s="203" t="s">
        <v>404</v>
      </c>
    </row>
    <row r="11" spans="1:14" ht="361.5">
      <c r="A11" s="203" t="s">
        <v>411</v>
      </c>
      <c r="B11" s="206" t="s">
        <v>369</v>
      </c>
      <c r="C11" s="203" t="s">
        <v>406</v>
      </c>
      <c r="D11" s="203" t="s">
        <v>412</v>
      </c>
      <c r="E11" s="203" t="s">
        <v>413</v>
      </c>
      <c r="F11" s="207" t="s">
        <v>414</v>
      </c>
      <c r="G11" s="203" t="s">
        <v>415</v>
      </c>
      <c r="H11" s="561">
        <v>1</v>
      </c>
      <c r="I11" s="562">
        <f t="shared" si="0"/>
        <v>4</v>
      </c>
      <c r="J11" s="561">
        <v>32</v>
      </c>
      <c r="K11" s="206"/>
      <c r="L11" s="203" t="s">
        <v>23</v>
      </c>
      <c r="M11" s="206" t="s">
        <v>245</v>
      </c>
      <c r="N11" s="203" t="s">
        <v>404</v>
      </c>
    </row>
    <row r="12" spans="1:14" ht="234" customHeight="1">
      <c r="A12" s="203" t="s">
        <v>416</v>
      </c>
      <c r="B12" s="206" t="s">
        <v>369</v>
      </c>
      <c r="C12" s="203" t="s">
        <v>406</v>
      </c>
      <c r="D12" s="203" t="s">
        <v>417</v>
      </c>
      <c r="E12" s="203" t="s">
        <v>418</v>
      </c>
      <c r="F12" s="205" t="s">
        <v>419</v>
      </c>
      <c r="G12" s="203" t="s">
        <v>420</v>
      </c>
      <c r="H12" s="561">
        <v>1</v>
      </c>
      <c r="I12" s="562">
        <f t="shared" si="0"/>
        <v>10</v>
      </c>
      <c r="J12" s="561">
        <v>80</v>
      </c>
      <c r="K12" s="206"/>
      <c r="L12" s="203" t="s">
        <v>23</v>
      </c>
      <c r="M12" s="206" t="s">
        <v>421</v>
      </c>
      <c r="N12" s="203" t="s">
        <v>422</v>
      </c>
    </row>
    <row r="13" spans="1:14" ht="203.25" customHeight="1">
      <c r="A13" s="203" t="s">
        <v>423</v>
      </c>
      <c r="B13" s="206" t="s">
        <v>369</v>
      </c>
      <c r="C13" s="203" t="s">
        <v>406</v>
      </c>
      <c r="D13" s="203" t="s">
        <v>417</v>
      </c>
      <c r="E13" s="203" t="s">
        <v>424</v>
      </c>
      <c r="F13" s="203" t="s">
        <v>425</v>
      </c>
      <c r="G13" s="203" t="s">
        <v>426</v>
      </c>
      <c r="H13" s="561">
        <v>1</v>
      </c>
      <c r="I13" s="562">
        <f t="shared" si="0"/>
        <v>2</v>
      </c>
      <c r="J13" s="561">
        <v>16</v>
      </c>
      <c r="K13" s="206"/>
      <c r="L13" s="203" t="s">
        <v>23</v>
      </c>
      <c r="M13" s="206"/>
      <c r="N13" s="203" t="s">
        <v>427</v>
      </c>
    </row>
    <row r="14" spans="1:14" ht="101.25">
      <c r="A14" s="203" t="s">
        <v>428</v>
      </c>
      <c r="B14" s="206" t="s">
        <v>369</v>
      </c>
      <c r="C14" s="203" t="s">
        <v>406</v>
      </c>
      <c r="D14" s="203" t="s">
        <v>159</v>
      </c>
      <c r="E14" s="203" t="s">
        <v>429</v>
      </c>
      <c r="F14" s="205" t="s">
        <v>430</v>
      </c>
      <c r="G14" s="203" t="s">
        <v>431</v>
      </c>
      <c r="H14" s="561">
        <v>1</v>
      </c>
      <c r="I14" s="562">
        <f t="shared" si="0"/>
        <v>5</v>
      </c>
      <c r="J14" s="561">
        <v>40</v>
      </c>
      <c r="K14" s="206"/>
      <c r="L14" s="203" t="s">
        <v>23</v>
      </c>
      <c r="M14" s="191" t="s">
        <v>421</v>
      </c>
      <c r="N14" s="191" t="s">
        <v>432</v>
      </c>
    </row>
    <row r="15" spans="1:14" ht="216.75">
      <c r="A15" s="203" t="s">
        <v>433</v>
      </c>
      <c r="B15" s="206" t="s">
        <v>369</v>
      </c>
      <c r="C15" s="203" t="s">
        <v>406</v>
      </c>
      <c r="D15" s="203" t="s">
        <v>434</v>
      </c>
      <c r="E15" s="203" t="s">
        <v>435</v>
      </c>
      <c r="F15" s="205" t="s">
        <v>436</v>
      </c>
      <c r="G15" s="203" t="s">
        <v>437</v>
      </c>
      <c r="H15" s="561">
        <v>1</v>
      </c>
      <c r="I15" s="562">
        <f t="shared" si="0"/>
        <v>10</v>
      </c>
      <c r="J15" s="561">
        <v>80</v>
      </c>
      <c r="K15" s="206"/>
      <c r="L15" s="203" t="s">
        <v>23</v>
      </c>
      <c r="M15" s="206" t="s">
        <v>245</v>
      </c>
      <c r="N15" s="203" t="s">
        <v>438</v>
      </c>
    </row>
    <row r="16" spans="1:14" ht="87">
      <c r="A16" s="203" t="s">
        <v>439</v>
      </c>
      <c r="B16" s="206" t="s">
        <v>369</v>
      </c>
      <c r="C16" s="203" t="s">
        <v>406</v>
      </c>
      <c r="D16" s="203" t="s">
        <v>440</v>
      </c>
      <c r="E16" s="203" t="s">
        <v>441</v>
      </c>
      <c r="F16" s="205" t="s">
        <v>442</v>
      </c>
      <c r="G16" s="203" t="s">
        <v>443</v>
      </c>
      <c r="H16" s="561">
        <v>1</v>
      </c>
      <c r="I16" s="562">
        <f t="shared" si="0"/>
        <v>5</v>
      </c>
      <c r="J16" s="561">
        <v>40</v>
      </c>
      <c r="K16" s="206"/>
      <c r="L16" s="203" t="s">
        <v>23</v>
      </c>
      <c r="M16" s="206" t="s">
        <v>245</v>
      </c>
      <c r="N16" s="206"/>
    </row>
    <row r="17" spans="1:14" ht="409.6">
      <c r="A17" s="203" t="s">
        <v>444</v>
      </c>
      <c r="B17" s="206" t="s">
        <v>369</v>
      </c>
      <c r="C17" s="203" t="s">
        <v>406</v>
      </c>
      <c r="D17" s="203" t="s">
        <v>440</v>
      </c>
      <c r="E17" s="203" t="s">
        <v>445</v>
      </c>
      <c r="F17" s="205" t="s">
        <v>447</v>
      </c>
      <c r="G17" s="203" t="s">
        <v>448</v>
      </c>
      <c r="H17" s="561">
        <v>1</v>
      </c>
      <c r="I17" s="562">
        <f t="shared" si="0"/>
        <v>5</v>
      </c>
      <c r="J17" s="561">
        <v>40</v>
      </c>
      <c r="K17" s="206"/>
      <c r="L17" s="203" t="s">
        <v>23</v>
      </c>
      <c r="M17" s="203" t="s">
        <v>449</v>
      </c>
      <c r="N17" s="206"/>
    </row>
    <row r="18" spans="1:14" ht="130.5">
      <c r="A18" s="203" t="s">
        <v>450</v>
      </c>
      <c r="B18" s="206" t="s">
        <v>369</v>
      </c>
      <c r="C18" s="203" t="s">
        <v>451</v>
      </c>
      <c r="D18" s="203" t="s">
        <v>452</v>
      </c>
      <c r="E18" s="203" t="s">
        <v>453</v>
      </c>
      <c r="F18" s="205" t="s">
        <v>454</v>
      </c>
      <c r="G18" s="203" t="s">
        <v>455</v>
      </c>
      <c r="H18" s="561">
        <v>1</v>
      </c>
      <c r="I18" s="562">
        <f t="shared" si="0"/>
        <v>5</v>
      </c>
      <c r="J18" s="561">
        <v>40</v>
      </c>
      <c r="K18" s="206"/>
      <c r="L18" s="203" t="s">
        <v>23</v>
      </c>
      <c r="M18" s="206" t="s">
        <v>421</v>
      </c>
      <c r="N18" s="206" t="s">
        <v>456</v>
      </c>
    </row>
    <row r="19" spans="1:14" ht="159">
      <c r="A19" s="203" t="s">
        <v>457</v>
      </c>
      <c r="B19" s="206" t="s">
        <v>369</v>
      </c>
      <c r="C19" s="203" t="s">
        <v>451</v>
      </c>
      <c r="D19" s="203" t="s">
        <v>458</v>
      </c>
      <c r="E19" s="203" t="s">
        <v>459</v>
      </c>
      <c r="F19" s="207" t="s">
        <v>460</v>
      </c>
      <c r="G19" s="203" t="s">
        <v>461</v>
      </c>
      <c r="H19" s="561">
        <v>1</v>
      </c>
      <c r="I19" s="562">
        <f t="shared" si="0"/>
        <v>5</v>
      </c>
      <c r="J19" s="561">
        <v>40</v>
      </c>
      <c r="K19" s="206"/>
      <c r="L19" s="203" t="s">
        <v>23</v>
      </c>
      <c r="M19" s="191" t="s">
        <v>421</v>
      </c>
      <c r="N19" s="191"/>
    </row>
    <row r="20" spans="1:14" ht="115.5">
      <c r="A20" s="203" t="s">
        <v>462</v>
      </c>
      <c r="B20" s="206" t="s">
        <v>369</v>
      </c>
      <c r="C20" s="203" t="s">
        <v>451</v>
      </c>
      <c r="D20" s="203" t="s">
        <v>463</v>
      </c>
      <c r="E20" s="203" t="s">
        <v>464</v>
      </c>
      <c r="F20" s="207" t="s">
        <v>465</v>
      </c>
      <c r="G20" s="203" t="s">
        <v>466</v>
      </c>
      <c r="H20" s="561">
        <v>1</v>
      </c>
      <c r="I20" s="562">
        <f t="shared" si="0"/>
        <v>2</v>
      </c>
      <c r="J20" s="561">
        <v>16</v>
      </c>
      <c r="K20" s="206"/>
      <c r="L20" s="203" t="s">
        <v>23</v>
      </c>
      <c r="M20" s="191" t="s">
        <v>421</v>
      </c>
      <c r="N20" s="191"/>
    </row>
    <row r="21" spans="1:14" ht="87">
      <c r="A21" s="203" t="s">
        <v>467</v>
      </c>
      <c r="B21" s="206" t="s">
        <v>369</v>
      </c>
      <c r="C21" s="203" t="s">
        <v>451</v>
      </c>
      <c r="D21" s="203" t="s">
        <v>468</v>
      </c>
      <c r="E21" s="203" t="s">
        <v>469</v>
      </c>
      <c r="F21" s="205" t="s">
        <v>470</v>
      </c>
      <c r="G21" s="203" t="s">
        <v>471</v>
      </c>
      <c r="H21" s="561">
        <v>1</v>
      </c>
      <c r="I21" s="562">
        <f t="shared" si="0"/>
        <v>2</v>
      </c>
      <c r="J21" s="561">
        <v>16</v>
      </c>
      <c r="K21" s="206"/>
      <c r="L21" s="203" t="s">
        <v>23</v>
      </c>
      <c r="M21" s="191" t="s">
        <v>421</v>
      </c>
      <c r="N21" s="191"/>
    </row>
    <row r="22" spans="1:14" ht="115.5">
      <c r="A22" s="203" t="s">
        <v>472</v>
      </c>
      <c r="B22" s="206" t="s">
        <v>369</v>
      </c>
      <c r="C22" s="203" t="s">
        <v>451</v>
      </c>
      <c r="D22" s="203" t="s">
        <v>473</v>
      </c>
      <c r="E22" s="203" t="s">
        <v>474</v>
      </c>
      <c r="F22" s="205" t="s">
        <v>475</v>
      </c>
      <c r="G22" s="203" t="s">
        <v>476</v>
      </c>
      <c r="H22" s="561">
        <v>1</v>
      </c>
      <c r="I22" s="562">
        <f t="shared" si="0"/>
        <v>2</v>
      </c>
      <c r="J22" s="561">
        <v>16</v>
      </c>
      <c r="K22" s="206"/>
      <c r="L22" s="203" t="s">
        <v>23</v>
      </c>
      <c r="M22" s="191" t="s">
        <v>421</v>
      </c>
      <c r="N22" s="191"/>
    </row>
    <row r="23" spans="1:14" ht="130.5">
      <c r="A23" s="203" t="s">
        <v>477</v>
      </c>
      <c r="B23" s="206" t="s">
        <v>369</v>
      </c>
      <c r="C23" s="203" t="s">
        <v>478</v>
      </c>
      <c r="D23" s="203" t="s">
        <v>479</v>
      </c>
      <c r="E23" s="203" t="s">
        <v>480</v>
      </c>
      <c r="F23" s="203" t="s">
        <v>481</v>
      </c>
      <c r="G23" s="203" t="s">
        <v>482</v>
      </c>
      <c r="H23" s="561">
        <v>1</v>
      </c>
      <c r="I23" s="562">
        <f t="shared" si="0"/>
        <v>4</v>
      </c>
      <c r="J23" s="561">
        <v>32</v>
      </c>
      <c r="K23" s="206"/>
      <c r="L23" s="203" t="s">
        <v>23</v>
      </c>
      <c r="M23" s="191" t="s">
        <v>421</v>
      </c>
      <c r="N23" s="191"/>
    </row>
    <row r="24" spans="1:14" ht="144.75">
      <c r="A24" s="203" t="s">
        <v>483</v>
      </c>
      <c r="B24" s="206" t="s">
        <v>369</v>
      </c>
      <c r="C24" s="203" t="s">
        <v>478</v>
      </c>
      <c r="D24" s="203" t="s">
        <v>484</v>
      </c>
      <c r="E24" s="203" t="s">
        <v>485</v>
      </c>
      <c r="F24" s="207" t="s">
        <v>486</v>
      </c>
      <c r="G24" s="203" t="s">
        <v>487</v>
      </c>
      <c r="H24" s="561">
        <v>1</v>
      </c>
      <c r="I24" s="562">
        <f t="shared" si="0"/>
        <v>3</v>
      </c>
      <c r="J24" s="561">
        <v>24</v>
      </c>
      <c r="K24" s="206"/>
      <c r="L24" s="203" t="s">
        <v>23</v>
      </c>
      <c r="M24" s="191" t="s">
        <v>421</v>
      </c>
      <c r="N24" s="206"/>
    </row>
    <row r="25" spans="1:14" ht="101.25">
      <c r="A25" s="203" t="s">
        <v>488</v>
      </c>
      <c r="B25" s="206" t="s">
        <v>369</v>
      </c>
      <c r="C25" s="203" t="s">
        <v>478</v>
      </c>
      <c r="D25" s="203" t="s">
        <v>489</v>
      </c>
      <c r="E25" s="210" t="s">
        <v>490</v>
      </c>
      <c r="F25" s="205" t="s">
        <v>491</v>
      </c>
      <c r="G25" s="203" t="s">
        <v>492</v>
      </c>
      <c r="H25" s="561">
        <v>1</v>
      </c>
      <c r="I25" s="562">
        <f t="shared" si="0"/>
        <v>3</v>
      </c>
      <c r="J25" s="561">
        <v>24</v>
      </c>
      <c r="K25" s="206"/>
      <c r="L25" s="203" t="s">
        <v>23</v>
      </c>
      <c r="M25" s="191" t="s">
        <v>421</v>
      </c>
      <c r="N25" s="191"/>
    </row>
    <row r="26" spans="1:14" ht="72.75">
      <c r="A26" s="203" t="s">
        <v>493</v>
      </c>
      <c r="B26" s="206" t="s">
        <v>369</v>
      </c>
      <c r="C26" s="203" t="s">
        <v>478</v>
      </c>
      <c r="D26" s="203" t="s">
        <v>494</v>
      </c>
      <c r="E26" s="210" t="s">
        <v>495</v>
      </c>
      <c r="F26" s="205" t="s">
        <v>496</v>
      </c>
      <c r="G26" s="203" t="s">
        <v>497</v>
      </c>
      <c r="H26" s="561">
        <v>1</v>
      </c>
      <c r="I26" s="562">
        <f t="shared" si="0"/>
        <v>3</v>
      </c>
      <c r="J26" s="561">
        <v>24</v>
      </c>
      <c r="K26" s="206"/>
      <c r="L26" s="203" t="s">
        <v>23</v>
      </c>
      <c r="M26" s="191" t="s">
        <v>421</v>
      </c>
      <c r="N26" s="206"/>
    </row>
    <row r="27" spans="1:14" ht="390">
      <c r="A27" s="203" t="s">
        <v>499</v>
      </c>
      <c r="B27" s="206" t="s">
        <v>500</v>
      </c>
      <c r="C27" s="206" t="s">
        <v>501</v>
      </c>
      <c r="D27" s="203" t="s">
        <v>502</v>
      </c>
      <c r="E27" s="203" t="s">
        <v>503</v>
      </c>
      <c r="F27" s="205" t="s">
        <v>504</v>
      </c>
      <c r="G27" s="203" t="s">
        <v>505</v>
      </c>
      <c r="H27" s="561">
        <v>2</v>
      </c>
      <c r="I27" s="563">
        <f>J27/8</f>
        <v>10</v>
      </c>
      <c r="J27" s="563">
        <v>80</v>
      </c>
      <c r="K27" s="206"/>
      <c r="L27" s="203" t="s">
        <v>23</v>
      </c>
      <c r="M27" s="191"/>
      <c r="N27" s="191"/>
    </row>
    <row r="28" spans="1:14" ht="390">
      <c r="A28" s="203" t="s">
        <v>506</v>
      </c>
      <c r="B28" s="206" t="s">
        <v>507</v>
      </c>
      <c r="C28" s="206" t="s">
        <v>501</v>
      </c>
      <c r="D28" s="203" t="s">
        <v>508</v>
      </c>
      <c r="E28" s="203" t="s">
        <v>509</v>
      </c>
      <c r="F28" s="205" t="s">
        <v>510</v>
      </c>
      <c r="G28" s="203" t="s">
        <v>511</v>
      </c>
      <c r="H28" s="561">
        <v>2</v>
      </c>
      <c r="I28" s="564"/>
      <c r="J28" s="564"/>
      <c r="K28" s="206"/>
      <c r="L28" s="203" t="s">
        <v>23</v>
      </c>
      <c r="M28" s="191"/>
      <c r="N28" s="191"/>
    </row>
    <row r="29" spans="1:14" ht="409.6">
      <c r="A29" s="203" t="s">
        <v>512</v>
      </c>
      <c r="B29" s="206" t="s">
        <v>507</v>
      </c>
      <c r="C29" s="206" t="s">
        <v>501</v>
      </c>
      <c r="D29" s="565" t="s">
        <v>513</v>
      </c>
      <c r="E29" s="565" t="s">
        <v>514</v>
      </c>
      <c r="F29" s="205" t="s">
        <v>515</v>
      </c>
      <c r="G29" s="203" t="s">
        <v>516</v>
      </c>
      <c r="H29" s="561">
        <v>2</v>
      </c>
      <c r="I29" s="566"/>
      <c r="J29" s="566"/>
      <c r="K29" s="206"/>
      <c r="L29" s="203" t="s">
        <v>23</v>
      </c>
      <c r="M29" s="191"/>
      <c r="N29" s="191"/>
    </row>
    <row r="30" spans="1:14" ht="188.25">
      <c r="A30" s="203" t="s">
        <v>517</v>
      </c>
      <c r="B30" s="206" t="s">
        <v>507</v>
      </c>
      <c r="C30" s="206" t="s">
        <v>501</v>
      </c>
      <c r="D30" s="565" t="s">
        <v>518</v>
      </c>
      <c r="E30" s="203" t="s">
        <v>519</v>
      </c>
      <c r="F30" s="205" t="s">
        <v>520</v>
      </c>
      <c r="G30" s="203" t="s">
        <v>521</v>
      </c>
      <c r="H30" s="561">
        <v>2</v>
      </c>
      <c r="I30" s="206">
        <f>J30/8</f>
        <v>5</v>
      </c>
      <c r="J30" s="206">
        <v>40</v>
      </c>
      <c r="K30" s="206"/>
      <c r="L30" s="203" t="s">
        <v>23</v>
      </c>
      <c r="M30" s="191"/>
      <c r="N30" s="191"/>
    </row>
    <row r="31" spans="1:14" ht="216.75">
      <c r="A31" s="203" t="s">
        <v>522</v>
      </c>
      <c r="B31" s="206" t="s">
        <v>507</v>
      </c>
      <c r="C31" s="206" t="s">
        <v>501</v>
      </c>
      <c r="D31" s="565" t="s">
        <v>523</v>
      </c>
      <c r="E31" s="203" t="s">
        <v>524</v>
      </c>
      <c r="F31" s="205" t="s">
        <v>525</v>
      </c>
      <c r="G31" s="203" t="s">
        <v>526</v>
      </c>
      <c r="H31" s="561">
        <v>2</v>
      </c>
      <c r="I31" s="206">
        <f t="shared" ref="I31:I33" si="1">J31/8</f>
        <v>5</v>
      </c>
      <c r="J31" s="206">
        <v>40</v>
      </c>
      <c r="K31" s="206"/>
      <c r="L31" s="203" t="s">
        <v>23</v>
      </c>
      <c r="M31" s="191" t="s">
        <v>245</v>
      </c>
      <c r="N31" s="191"/>
    </row>
    <row r="32" spans="1:14" ht="174">
      <c r="A32" s="203" t="s">
        <v>527</v>
      </c>
      <c r="B32" s="206" t="s">
        <v>507</v>
      </c>
      <c r="C32" s="206" t="s">
        <v>501</v>
      </c>
      <c r="D32" s="565" t="s">
        <v>528</v>
      </c>
      <c r="E32" s="565" t="s">
        <v>529</v>
      </c>
      <c r="F32" s="205" t="s">
        <v>530</v>
      </c>
      <c r="G32" s="203" t="s">
        <v>531</v>
      </c>
      <c r="H32" s="561">
        <v>2</v>
      </c>
      <c r="I32" s="206">
        <f t="shared" si="1"/>
        <v>3</v>
      </c>
      <c r="J32" s="206">
        <v>24</v>
      </c>
      <c r="K32" s="206"/>
      <c r="L32" s="203" t="s">
        <v>23</v>
      </c>
      <c r="M32" s="191"/>
      <c r="N32" s="191"/>
    </row>
    <row r="33" spans="1:14" ht="87">
      <c r="A33" s="203" t="s">
        <v>532</v>
      </c>
      <c r="B33" s="206" t="s">
        <v>507</v>
      </c>
      <c r="C33" s="206" t="s">
        <v>501</v>
      </c>
      <c r="D33" s="565" t="s">
        <v>533</v>
      </c>
      <c r="E33" s="203" t="s">
        <v>534</v>
      </c>
      <c r="F33" s="205" t="s">
        <v>535</v>
      </c>
      <c r="G33" s="203" t="s">
        <v>536</v>
      </c>
      <c r="H33" s="561">
        <v>2</v>
      </c>
      <c r="I33" s="206">
        <f t="shared" si="1"/>
        <v>1</v>
      </c>
      <c r="J33" s="206">
        <v>8</v>
      </c>
      <c r="K33" s="206"/>
      <c r="L33" s="203" t="s">
        <v>23</v>
      </c>
      <c r="M33" s="191"/>
      <c r="N33" s="191"/>
    </row>
    <row r="34" spans="1:14" ht="260.25">
      <c r="A34" s="203" t="s">
        <v>624</v>
      </c>
      <c r="B34" s="206" t="s">
        <v>625</v>
      </c>
      <c r="C34" s="206" t="s">
        <v>626</v>
      </c>
      <c r="D34" s="203" t="s">
        <v>627</v>
      </c>
      <c r="E34" s="203" t="s">
        <v>628</v>
      </c>
      <c r="F34" s="205" t="s">
        <v>629</v>
      </c>
      <c r="G34" s="203" t="s">
        <v>630</v>
      </c>
      <c r="H34" s="561">
        <v>3</v>
      </c>
      <c r="I34" s="563">
        <f>J34/8</f>
        <v>10</v>
      </c>
      <c r="J34" s="563">
        <v>80</v>
      </c>
      <c r="K34" s="206"/>
      <c r="L34" s="203" t="s">
        <v>23</v>
      </c>
      <c r="M34" s="191" t="s">
        <v>245</v>
      </c>
      <c r="N34" s="191"/>
    </row>
    <row r="35" spans="1:14" ht="87">
      <c r="A35" s="203" t="s">
        <v>631</v>
      </c>
      <c r="B35" s="206" t="s">
        <v>625</v>
      </c>
      <c r="C35" s="206" t="s">
        <v>626</v>
      </c>
      <c r="D35" s="203" t="s">
        <v>632</v>
      </c>
      <c r="E35" s="203" t="s">
        <v>633</v>
      </c>
      <c r="F35" s="205" t="s">
        <v>634</v>
      </c>
      <c r="G35" s="203" t="s">
        <v>635</v>
      </c>
      <c r="H35" s="561">
        <v>3</v>
      </c>
      <c r="I35" s="564"/>
      <c r="J35" s="564"/>
      <c r="K35" s="206"/>
      <c r="L35" s="203" t="s">
        <v>23</v>
      </c>
      <c r="M35" s="191" t="s">
        <v>245</v>
      </c>
      <c r="N35" s="191"/>
    </row>
    <row r="36" spans="1:14" ht="245.25">
      <c r="A36" s="203" t="s">
        <v>636</v>
      </c>
      <c r="B36" s="206" t="s">
        <v>625</v>
      </c>
      <c r="C36" s="206" t="s">
        <v>626</v>
      </c>
      <c r="D36" s="203" t="s">
        <v>637</v>
      </c>
      <c r="E36" s="203" t="s">
        <v>638</v>
      </c>
      <c r="F36" s="205" t="s">
        <v>639</v>
      </c>
      <c r="G36" s="203" t="s">
        <v>640</v>
      </c>
      <c r="H36" s="561">
        <v>3</v>
      </c>
      <c r="I36" s="566"/>
      <c r="J36" s="566"/>
      <c r="K36" s="206"/>
      <c r="L36" s="203" t="s">
        <v>23</v>
      </c>
      <c r="M36" s="191" t="s">
        <v>245</v>
      </c>
      <c r="N36" s="191"/>
    </row>
  </sheetData>
  <mergeCells count="5">
    <mergeCell ref="B1:E1"/>
    <mergeCell ref="I27:I29"/>
    <mergeCell ref="J27:J29"/>
    <mergeCell ref="I34:I36"/>
    <mergeCell ref="J34:J3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EDC28-96A8-484E-A319-57702D5402AB}">
  <dimension ref="A1:F59"/>
  <sheetViews>
    <sheetView topLeftCell="A15" workbookViewId="0">
      <selection activeCell="A59" sqref="A59"/>
    </sheetView>
  </sheetViews>
  <sheetFormatPr defaultRowHeight="14.45"/>
  <cols>
    <col min="1" max="1" width="68.85546875" bestFit="1" customWidth="1"/>
    <col min="2" max="2" width="54.7109375" customWidth="1"/>
    <col min="3" max="3" width="53" customWidth="1"/>
    <col min="4" max="4" width="20" customWidth="1"/>
    <col min="5" max="5" width="50.85546875" customWidth="1"/>
    <col min="6" max="6" width="52.5703125" customWidth="1"/>
  </cols>
  <sheetData>
    <row r="1" spans="1:2">
      <c r="A1" s="189" t="s">
        <v>1107</v>
      </c>
    </row>
    <row r="2" spans="1:2">
      <c r="A2" s="190" t="s">
        <v>1108</v>
      </c>
      <c r="B2" s="190" t="s">
        <v>1109</v>
      </c>
    </row>
    <row r="3" spans="1:2" ht="129.6">
      <c r="A3" s="380" t="s">
        <v>1110</v>
      </c>
      <c r="B3" s="381" t="s">
        <v>1111</v>
      </c>
    </row>
    <row r="4" spans="1:2" ht="43.15">
      <c r="A4" s="376" t="s">
        <v>1112</v>
      </c>
      <c r="B4" s="382" t="s">
        <v>1113</v>
      </c>
    </row>
    <row r="5" spans="1:2">
      <c r="A5" s="376" t="s">
        <v>1114</v>
      </c>
      <c r="B5" s="383" t="s">
        <v>1115</v>
      </c>
    </row>
    <row r="6" spans="1:2">
      <c r="A6" s="376" t="s">
        <v>1116</v>
      </c>
      <c r="B6" s="376"/>
    </row>
    <row r="7" spans="1:2">
      <c r="A7" s="376" t="s">
        <v>1117</v>
      </c>
      <c r="B7" s="383" t="s">
        <v>1115</v>
      </c>
    </row>
    <row r="8" spans="1:2">
      <c r="A8" s="380" t="s">
        <v>1118</v>
      </c>
      <c r="B8" s="384" t="s">
        <v>1119</v>
      </c>
    </row>
    <row r="9" spans="1:2">
      <c r="A9" s="191" t="s">
        <v>1120</v>
      </c>
      <c r="B9" s="367" t="s">
        <v>1121</v>
      </c>
    </row>
    <row r="10" spans="1:2">
      <c r="A10" s="191" t="s">
        <v>1122</v>
      </c>
      <c r="B10" s="367" t="s">
        <v>1121</v>
      </c>
    </row>
    <row r="11" spans="1:2">
      <c r="B11" s="385"/>
    </row>
    <row r="12" spans="1:2">
      <c r="A12" s="190" t="s">
        <v>1123</v>
      </c>
      <c r="B12" s="386" t="s">
        <v>1124</v>
      </c>
    </row>
    <row r="13" spans="1:2">
      <c r="A13" s="191" t="s">
        <v>501</v>
      </c>
      <c r="B13" s="367" t="s">
        <v>1125</v>
      </c>
    </row>
    <row r="14" spans="1:2">
      <c r="A14" s="191" t="s">
        <v>1126</v>
      </c>
      <c r="B14" s="367" t="s">
        <v>1125</v>
      </c>
    </row>
    <row r="15" spans="1:2">
      <c r="A15" s="191" t="s">
        <v>1127</v>
      </c>
      <c r="B15" s="367" t="s">
        <v>1125</v>
      </c>
    </row>
    <row r="16" spans="1:2">
      <c r="B16" s="385"/>
    </row>
    <row r="18" spans="1:6">
      <c r="A18" s="375" t="s">
        <v>1128</v>
      </c>
      <c r="B18" s="375" t="s">
        <v>1129</v>
      </c>
    </row>
    <row r="19" spans="1:6">
      <c r="A19" s="376" t="s">
        <v>1130</v>
      </c>
      <c r="B19" s="376" t="s">
        <v>1131</v>
      </c>
      <c r="F19" t="s">
        <v>1132</v>
      </c>
    </row>
    <row r="20" spans="1:6">
      <c r="A20" s="376" t="s">
        <v>1133</v>
      </c>
      <c r="B20" s="376" t="s">
        <v>1131</v>
      </c>
      <c r="F20" t="s">
        <v>1134</v>
      </c>
    </row>
    <row r="22" spans="1:6">
      <c r="A22" s="375" t="s">
        <v>159</v>
      </c>
      <c r="B22" s="377" t="s">
        <v>1129</v>
      </c>
      <c r="C22" s="378" t="s">
        <v>1135</v>
      </c>
    </row>
    <row r="23" spans="1:6">
      <c r="A23" s="376" t="s">
        <v>1136</v>
      </c>
      <c r="B23" s="379" t="s">
        <v>1137</v>
      </c>
      <c r="C23" s="376" t="s">
        <v>1138</v>
      </c>
    </row>
    <row r="26" spans="1:6">
      <c r="A26" s="218" t="s">
        <v>1139</v>
      </c>
      <c r="B26" s="218" t="s">
        <v>1140</v>
      </c>
      <c r="C26" s="218" t="s">
        <v>1141</v>
      </c>
      <c r="D26" s="218" t="s">
        <v>1142</v>
      </c>
      <c r="E26" s="218" t="s">
        <v>1143</v>
      </c>
    </row>
    <row r="27" spans="1:6" ht="72">
      <c r="A27" s="191" t="s">
        <v>501</v>
      </c>
      <c r="B27" s="191" t="s">
        <v>1144</v>
      </c>
      <c r="C27" s="208" t="s">
        <v>1145</v>
      </c>
      <c r="D27" s="191" t="s">
        <v>1146</v>
      </c>
      <c r="E27" s="208" t="s">
        <v>1147</v>
      </c>
    </row>
    <row r="28" spans="1:6">
      <c r="A28" s="191" t="s">
        <v>834</v>
      </c>
      <c r="B28" s="191" t="s">
        <v>1148</v>
      </c>
      <c r="C28" s="191" t="s">
        <v>1149</v>
      </c>
      <c r="D28" s="191" t="s">
        <v>1146</v>
      </c>
      <c r="E28" s="191"/>
    </row>
    <row r="30" spans="1:6">
      <c r="A30" s="190" t="s">
        <v>1150</v>
      </c>
      <c r="B30" s="190" t="s">
        <v>1129</v>
      </c>
      <c r="C30" s="536" t="s">
        <v>1151</v>
      </c>
    </row>
    <row r="31" spans="1:6">
      <c r="A31" s="191" t="s">
        <v>1152</v>
      </c>
      <c r="B31" s="191"/>
      <c r="C31" s="536"/>
    </row>
    <row r="32" spans="1:6">
      <c r="A32" s="191" t="s">
        <v>1153</v>
      </c>
      <c r="B32" s="191"/>
      <c r="C32" s="536"/>
    </row>
    <row r="33" spans="1:3">
      <c r="A33" s="191" t="s">
        <v>1154</v>
      </c>
      <c r="B33" s="191"/>
      <c r="C33" s="536"/>
    </row>
    <row r="34" spans="1:3">
      <c r="A34" s="191" t="s">
        <v>1155</v>
      </c>
      <c r="B34" s="191"/>
      <c r="C34" s="536"/>
    </row>
    <row r="35" spans="1:3">
      <c r="A35" s="191" t="s">
        <v>1156</v>
      </c>
      <c r="B35" s="191"/>
      <c r="C35" s="536"/>
    </row>
    <row r="36" spans="1:3">
      <c r="A36" s="191" t="s">
        <v>1157</v>
      </c>
      <c r="B36" s="191"/>
      <c r="C36" s="536"/>
    </row>
    <row r="37" spans="1:3">
      <c r="A37" s="191" t="s">
        <v>1158</v>
      </c>
      <c r="B37" s="191"/>
      <c r="C37" s="536"/>
    </row>
    <row r="38" spans="1:3">
      <c r="A38" s="191" t="s">
        <v>1159</v>
      </c>
      <c r="B38" s="191"/>
      <c r="C38" s="536"/>
    </row>
    <row r="39" spans="1:3">
      <c r="A39" s="191" t="s">
        <v>1160</v>
      </c>
      <c r="B39" s="191"/>
      <c r="C39" s="536"/>
    </row>
    <row r="40" spans="1:3">
      <c r="A40" s="191" t="s">
        <v>1161</v>
      </c>
      <c r="B40" s="191"/>
      <c r="C40" s="536"/>
    </row>
    <row r="41" spans="1:3">
      <c r="A41" s="191" t="s">
        <v>1162</v>
      </c>
      <c r="B41" s="191"/>
      <c r="C41" s="536"/>
    </row>
    <row r="42" spans="1:3">
      <c r="A42" s="191" t="s">
        <v>1163</v>
      </c>
      <c r="B42" s="191"/>
      <c r="C42" s="536"/>
    </row>
    <row r="43" spans="1:3">
      <c r="A43" s="191" t="s">
        <v>1164</v>
      </c>
      <c r="B43" s="191"/>
      <c r="C43" s="536"/>
    </row>
    <row r="44" spans="1:3">
      <c r="A44" s="191" t="s">
        <v>1165</v>
      </c>
      <c r="B44" s="191"/>
      <c r="C44" s="536"/>
    </row>
    <row r="50" spans="1:3">
      <c r="A50" t="s">
        <v>368</v>
      </c>
      <c r="B50" t="s">
        <v>1135</v>
      </c>
      <c r="C50" t="s">
        <v>1166</v>
      </c>
    </row>
    <row r="51" spans="1:3">
      <c r="A51" t="s">
        <v>1167</v>
      </c>
      <c r="B51" t="s">
        <v>1168</v>
      </c>
    </row>
    <row r="52" spans="1:3" ht="29.25">
      <c r="A52" t="s">
        <v>1169</v>
      </c>
      <c r="B52" t="s">
        <v>1170</v>
      </c>
      <c r="C52" s="195" t="s">
        <v>1171</v>
      </c>
    </row>
    <row r="53" spans="1:3">
      <c r="A53" t="s">
        <v>1172</v>
      </c>
    </row>
    <row r="57" spans="1:3" ht="15">
      <c r="A57" s="189" t="s">
        <v>368</v>
      </c>
    </row>
    <row r="58" spans="1:3">
      <c r="A58" t="s">
        <v>1173</v>
      </c>
    </row>
    <row r="59" spans="1:3" ht="101.25">
      <c r="A59" s="195" t="s">
        <v>1174</v>
      </c>
    </row>
  </sheetData>
  <mergeCells count="1">
    <mergeCell ref="C30:C44"/>
  </mergeCells>
  <hyperlinks>
    <hyperlink ref="B3" r:id="rId1" display="Synthetic_Airline_Input File.xlsx" xr:uid="{6604B74B-62B9-41C1-9366-54818CE713FB}"/>
    <hyperlink ref="B5" r:id="rId2" xr:uid="{49BD5C3B-7B43-4D59-92A8-8C2D77A26774}"/>
    <hyperlink ref="B7" r:id="rId3" xr:uid="{D6281FB7-D9E7-4843-A2CD-E6AC27E789ED}"/>
    <hyperlink ref="B8" r:id="rId4" xr:uid="{CA94E2DD-89AF-4B6E-BAB5-94D57CA2B9B0}"/>
    <hyperlink ref="B4" r:id="rId5" xr:uid="{8325599C-D1E4-42DF-ADA5-C0633BD91D9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52483-ED92-42D2-8083-1A7B0B87BA5C}">
  <dimension ref="B4:R56"/>
  <sheetViews>
    <sheetView topLeftCell="B1" workbookViewId="0">
      <selection activeCell="I21" sqref="I21"/>
    </sheetView>
  </sheetViews>
  <sheetFormatPr defaultRowHeight="15"/>
  <cols>
    <col min="2" max="2" width="45.28515625" customWidth="1"/>
    <col min="3" max="3" width="90.42578125" customWidth="1"/>
    <col min="4" max="4" width="47.28515625" customWidth="1"/>
    <col min="5" max="5" width="18" customWidth="1"/>
    <col min="6" max="6" width="10.28515625" customWidth="1"/>
    <col min="8" max="9" width="12.140625" customWidth="1"/>
    <col min="10" max="10" width="14.5703125" customWidth="1"/>
    <col min="11" max="11" width="16" customWidth="1"/>
    <col min="12" max="12" width="14.7109375" customWidth="1"/>
  </cols>
  <sheetData>
    <row r="4" spans="2:17" ht="43.15">
      <c r="B4" s="237" t="s">
        <v>1175</v>
      </c>
      <c r="C4" s="243" t="s">
        <v>1176</v>
      </c>
      <c r="D4" s="243" t="s">
        <v>1177</v>
      </c>
      <c r="E4" s="243" t="s">
        <v>1178</v>
      </c>
      <c r="F4" s="244" t="s">
        <v>1179</v>
      </c>
      <c r="G4" s="245" t="s">
        <v>1180</v>
      </c>
      <c r="H4" s="244" t="s">
        <v>1181</v>
      </c>
      <c r="I4" s="244" t="s">
        <v>1182</v>
      </c>
      <c r="J4" s="244" t="s">
        <v>1183</v>
      </c>
      <c r="K4" s="244" t="s">
        <v>1184</v>
      </c>
      <c r="P4">
        <f>240+400</f>
        <v>640</v>
      </c>
    </row>
    <row r="5" spans="2:17" ht="14.45">
      <c r="B5" s="238" t="s">
        <v>1185</v>
      </c>
      <c r="C5" s="567">
        <v>160</v>
      </c>
      <c r="D5" s="567"/>
      <c r="E5" s="238">
        <v>200</v>
      </c>
      <c r="F5" s="191">
        <v>160</v>
      </c>
      <c r="G5" s="193">
        <f>E5</f>
        <v>200</v>
      </c>
      <c r="H5" s="357">
        <f>F5/$F$13</f>
        <v>53.333333333333336</v>
      </c>
      <c r="I5" s="240">
        <v>1</v>
      </c>
      <c r="J5" s="240">
        <f>G5/$G$13</f>
        <v>40</v>
      </c>
      <c r="K5" s="240">
        <v>1</v>
      </c>
      <c r="M5" s="374">
        <f>H5+J5</f>
        <v>93.333333333333343</v>
      </c>
      <c r="N5" s="374"/>
      <c r="Q5">
        <f>160/8</f>
        <v>20</v>
      </c>
    </row>
    <row r="6" spans="2:17" ht="14.45">
      <c r="B6" s="238" t="s">
        <v>1186</v>
      </c>
      <c r="C6" s="238">
        <v>100</v>
      </c>
      <c r="D6" s="238">
        <v>100</v>
      </c>
      <c r="E6" s="238">
        <v>150</v>
      </c>
      <c r="F6" s="191">
        <f>C6+D6</f>
        <v>200</v>
      </c>
      <c r="G6" s="193">
        <f t="shared" ref="G6:G11" si="0">E6</f>
        <v>150</v>
      </c>
      <c r="H6" s="357">
        <f t="shared" ref="H6:H11" si="1">F6/$F$13</f>
        <v>66.666666666666671</v>
      </c>
      <c r="I6" s="240">
        <v>1</v>
      </c>
      <c r="J6" s="240">
        <f>G6/$G$13</f>
        <v>30</v>
      </c>
      <c r="K6" s="240">
        <v>1</v>
      </c>
      <c r="M6" s="374">
        <f t="shared" ref="M6:M11" si="2">H6+J6</f>
        <v>96.666666666666671</v>
      </c>
    </row>
    <row r="7" spans="2:17" ht="14.45">
      <c r="B7" s="238" t="s">
        <v>1187</v>
      </c>
      <c r="C7" s="238">
        <v>100</v>
      </c>
      <c r="D7" s="238">
        <v>160</v>
      </c>
      <c r="E7" s="238">
        <v>300</v>
      </c>
      <c r="F7" s="191">
        <f t="shared" ref="F7:F12" si="3">C7+D7</f>
        <v>260</v>
      </c>
      <c r="G7" s="193">
        <f t="shared" si="0"/>
        <v>300</v>
      </c>
      <c r="H7" s="357">
        <f t="shared" si="1"/>
        <v>86.666666666666671</v>
      </c>
      <c r="I7" s="240">
        <v>1</v>
      </c>
      <c r="J7" s="240">
        <f t="shared" ref="J7:J11" si="4">G7/$G$13</f>
        <v>60</v>
      </c>
      <c r="K7" s="240">
        <v>1</v>
      </c>
      <c r="M7" s="374">
        <f t="shared" si="2"/>
        <v>146.66666666666669</v>
      </c>
    </row>
    <row r="8" spans="2:17" ht="14.45">
      <c r="B8" s="238" t="s">
        <v>1188</v>
      </c>
      <c r="C8" s="238">
        <v>150</v>
      </c>
      <c r="D8" s="238">
        <v>180</v>
      </c>
      <c r="E8" s="238">
        <v>300</v>
      </c>
      <c r="F8" s="191">
        <f t="shared" si="3"/>
        <v>330</v>
      </c>
      <c r="G8" s="193">
        <v>300</v>
      </c>
      <c r="H8" s="357">
        <f t="shared" si="1"/>
        <v>110</v>
      </c>
      <c r="I8" s="240" t="s">
        <v>1189</v>
      </c>
      <c r="J8" s="240">
        <f>G8/$G$13</f>
        <v>60</v>
      </c>
      <c r="K8" s="240" t="s">
        <v>1189</v>
      </c>
      <c r="M8" s="374">
        <f t="shared" si="2"/>
        <v>170</v>
      </c>
    </row>
    <row r="9" spans="2:17" ht="14.45">
      <c r="B9" s="238" t="s">
        <v>1190</v>
      </c>
      <c r="C9" s="238">
        <v>150</v>
      </c>
      <c r="D9" s="238">
        <v>180</v>
      </c>
      <c r="E9" s="238">
        <v>300</v>
      </c>
      <c r="F9" s="191">
        <f t="shared" si="3"/>
        <v>330</v>
      </c>
      <c r="G9" s="193">
        <v>300</v>
      </c>
      <c r="H9" s="357">
        <f t="shared" si="1"/>
        <v>110</v>
      </c>
      <c r="I9" s="240" t="s">
        <v>1191</v>
      </c>
      <c r="J9" s="240">
        <f t="shared" si="4"/>
        <v>60</v>
      </c>
      <c r="K9" s="240" t="s">
        <v>1191</v>
      </c>
      <c r="L9" s="241"/>
      <c r="M9" s="374">
        <f t="shared" si="2"/>
        <v>170</v>
      </c>
    </row>
    <row r="10" spans="2:17" ht="14.45">
      <c r="B10" s="238" t="s">
        <v>1192</v>
      </c>
      <c r="C10" s="238">
        <v>100</v>
      </c>
      <c r="D10" s="238">
        <v>120</v>
      </c>
      <c r="E10" s="238">
        <v>300</v>
      </c>
      <c r="F10" s="191">
        <f t="shared" si="3"/>
        <v>220</v>
      </c>
      <c r="G10" s="193">
        <v>300</v>
      </c>
      <c r="H10" s="357">
        <f t="shared" si="1"/>
        <v>73.333333333333329</v>
      </c>
      <c r="I10" s="240" t="s">
        <v>1193</v>
      </c>
      <c r="J10" s="240">
        <f t="shared" si="4"/>
        <v>60</v>
      </c>
      <c r="K10" s="240" t="s">
        <v>1193</v>
      </c>
      <c r="M10" s="374">
        <f t="shared" si="2"/>
        <v>133.33333333333331</v>
      </c>
    </row>
    <row r="11" spans="2:17" ht="14.45">
      <c r="B11" s="238" t="s">
        <v>1194</v>
      </c>
      <c r="C11" s="567">
        <v>240</v>
      </c>
      <c r="D11" s="567"/>
      <c r="E11" s="238">
        <v>240</v>
      </c>
      <c r="F11" s="191">
        <f t="shared" si="3"/>
        <v>240</v>
      </c>
      <c r="G11" s="193">
        <f t="shared" si="0"/>
        <v>240</v>
      </c>
      <c r="H11" s="240">
        <f t="shared" si="1"/>
        <v>80</v>
      </c>
      <c r="I11" s="240">
        <v>8</v>
      </c>
      <c r="J11" s="240">
        <f t="shared" si="4"/>
        <v>48</v>
      </c>
      <c r="K11" s="240">
        <v>8</v>
      </c>
      <c r="M11" s="374">
        <f t="shared" si="2"/>
        <v>128</v>
      </c>
    </row>
    <row r="12" spans="2:17" ht="14.45">
      <c r="B12" s="238" t="s">
        <v>1195</v>
      </c>
      <c r="C12" s="567">
        <v>60</v>
      </c>
      <c r="D12" s="567"/>
      <c r="E12" s="567"/>
      <c r="F12" s="191">
        <f t="shared" si="3"/>
        <v>60</v>
      </c>
      <c r="G12" s="191">
        <v>60</v>
      </c>
      <c r="H12" s="64"/>
      <c r="I12" s="64"/>
      <c r="J12" s="64"/>
    </row>
    <row r="13" spans="2:17" ht="14.45">
      <c r="B13" s="191" t="s">
        <v>1196</v>
      </c>
      <c r="C13" s="191"/>
      <c r="D13" s="191"/>
      <c r="E13" s="191"/>
      <c r="F13" s="191">
        <v>3</v>
      </c>
      <c r="G13" s="191">
        <v>5</v>
      </c>
      <c r="H13" s="191"/>
      <c r="I13" s="64"/>
      <c r="J13" s="64"/>
      <c r="K13" s="64"/>
      <c r="M13">
        <f>SUM(M5:M11)</f>
        <v>938</v>
      </c>
    </row>
    <row r="14" spans="2:17" ht="14.45">
      <c r="B14" s="191" t="s">
        <v>1197</v>
      </c>
      <c r="C14" s="191"/>
      <c r="D14" s="191"/>
      <c r="E14" s="191"/>
      <c r="F14" s="191">
        <f>SUM(F5:F12)</f>
        <v>1800</v>
      </c>
      <c r="G14" s="191">
        <f>SUM(G5:G12)</f>
        <v>1850</v>
      </c>
      <c r="H14" s="191"/>
      <c r="I14" t="s">
        <v>1198</v>
      </c>
    </row>
    <row r="15" spans="2:17" ht="14.45">
      <c r="B15" s="191"/>
      <c r="C15" s="191"/>
      <c r="D15" s="191"/>
      <c r="E15" s="191"/>
      <c r="F15" s="191">
        <f>F14/F13</f>
        <v>600</v>
      </c>
      <c r="G15" s="191">
        <f>G14/G13</f>
        <v>370</v>
      </c>
      <c r="H15" s="191"/>
    </row>
    <row r="16" spans="2:17" ht="14.45">
      <c r="B16" s="191" t="s">
        <v>1199</v>
      </c>
      <c r="C16" s="191"/>
      <c r="D16" s="191"/>
      <c r="E16" s="191"/>
      <c r="F16" s="191">
        <f>F15/8</f>
        <v>75</v>
      </c>
      <c r="G16" s="191">
        <f>G15/8</f>
        <v>46.25</v>
      </c>
      <c r="H16" s="191"/>
    </row>
    <row r="17" spans="2:18" ht="14.45">
      <c r="B17" s="191" t="s">
        <v>1200</v>
      </c>
      <c r="C17" s="191"/>
      <c r="D17" s="191"/>
      <c r="E17" s="191"/>
      <c r="F17" s="190">
        <f>F16/5</f>
        <v>15</v>
      </c>
      <c r="G17" s="190">
        <f>G16/5</f>
        <v>9.25</v>
      </c>
      <c r="H17" s="190"/>
    </row>
    <row r="18" spans="2:18" ht="14.45">
      <c r="B18" s="191"/>
      <c r="C18" s="191"/>
      <c r="D18" s="191"/>
      <c r="E18" s="191"/>
      <c r="F18" s="191"/>
      <c r="G18" s="191"/>
      <c r="H18" s="191"/>
    </row>
    <row r="19" spans="2:18" ht="14.45">
      <c r="B19" s="191" t="s">
        <v>1201</v>
      </c>
      <c r="C19" s="191"/>
      <c r="D19" s="191"/>
      <c r="E19" s="191"/>
      <c r="F19" s="191"/>
      <c r="G19" s="538" t="s">
        <v>1202</v>
      </c>
      <c r="H19" s="539"/>
    </row>
    <row r="20" spans="2:18" ht="14.45">
      <c r="F20" s="189" t="s">
        <v>1203</v>
      </c>
      <c r="G20" s="189">
        <f>16/2</f>
        <v>8</v>
      </c>
    </row>
    <row r="21" spans="2:18" ht="21">
      <c r="F21" s="239" t="s">
        <v>1204</v>
      </c>
      <c r="G21" s="239"/>
    </row>
    <row r="26" spans="2:18" ht="14.45">
      <c r="B26" s="191"/>
      <c r="C26" s="191" t="s">
        <v>1205</v>
      </c>
      <c r="D26" s="191" t="s">
        <v>1206</v>
      </c>
      <c r="E26" s="191" t="s">
        <v>1207</v>
      </c>
      <c r="F26" s="191" t="s">
        <v>1208</v>
      </c>
      <c r="G26" s="191" t="s">
        <v>1209</v>
      </c>
      <c r="H26" s="191" t="s">
        <v>1210</v>
      </c>
      <c r="I26" s="191" t="s">
        <v>1211</v>
      </c>
      <c r="J26" s="191" t="s">
        <v>1212</v>
      </c>
      <c r="K26" s="191" t="s">
        <v>1213</v>
      </c>
      <c r="L26" s="191" t="s">
        <v>1214</v>
      </c>
      <c r="M26" s="191" t="s">
        <v>1215</v>
      </c>
      <c r="N26" s="191" t="s">
        <v>1216</v>
      </c>
      <c r="O26" s="191" t="s">
        <v>1217</v>
      </c>
      <c r="P26" s="191" t="s">
        <v>1218</v>
      </c>
      <c r="Q26" s="191" t="s">
        <v>1219</v>
      </c>
      <c r="R26" s="191" t="s">
        <v>1220</v>
      </c>
    </row>
    <row r="27" spans="2:18" ht="14.45">
      <c r="B27" s="238" t="s">
        <v>1185</v>
      </c>
      <c r="C27" s="360"/>
      <c r="D27" s="191"/>
      <c r="E27" s="191"/>
      <c r="F27" s="191"/>
      <c r="G27" s="191"/>
      <c r="H27" s="191"/>
      <c r="I27" s="191"/>
      <c r="J27" s="191"/>
      <c r="K27" s="191"/>
      <c r="L27" s="191"/>
      <c r="M27" s="191"/>
      <c r="N27" s="191"/>
      <c r="O27" s="191"/>
      <c r="P27" s="191"/>
      <c r="Q27" s="191"/>
      <c r="R27" s="191"/>
    </row>
    <row r="28" spans="2:18" ht="14.45">
      <c r="B28" s="238" t="s">
        <v>1186</v>
      </c>
      <c r="C28" s="191"/>
      <c r="D28" s="360"/>
      <c r="E28" s="191"/>
      <c r="F28" s="191"/>
      <c r="G28" s="191"/>
      <c r="H28" s="191"/>
      <c r="I28" s="191"/>
      <c r="J28" s="191"/>
      <c r="K28" s="191"/>
      <c r="L28" s="191"/>
      <c r="M28" s="191"/>
      <c r="N28" s="191"/>
      <c r="O28" s="191"/>
      <c r="P28" s="191"/>
      <c r="Q28" s="191"/>
      <c r="R28" s="191"/>
    </row>
    <row r="29" spans="2:18" ht="14.45">
      <c r="B29" s="238" t="s">
        <v>1187</v>
      </c>
      <c r="C29" s="191"/>
      <c r="D29" s="360"/>
      <c r="E29" s="191"/>
      <c r="F29" s="191"/>
      <c r="G29" s="191"/>
      <c r="H29" s="191"/>
      <c r="I29" s="191"/>
      <c r="J29" s="191"/>
      <c r="K29" s="191"/>
      <c r="L29" s="191"/>
      <c r="M29" s="191"/>
      <c r="N29" s="191"/>
      <c r="O29" s="191"/>
      <c r="P29" s="191"/>
      <c r="Q29" s="191"/>
      <c r="R29" s="191"/>
    </row>
    <row r="30" spans="2:18" ht="14.45">
      <c r="B30" s="238" t="s">
        <v>1188</v>
      </c>
      <c r="C30" s="191"/>
      <c r="D30" s="191"/>
      <c r="E30" s="360"/>
      <c r="F30" s="360"/>
      <c r="G30" s="360"/>
      <c r="H30" s="360"/>
      <c r="I30" s="191"/>
      <c r="J30" s="191"/>
      <c r="K30" s="191"/>
      <c r="L30" s="191"/>
      <c r="M30" s="191"/>
      <c r="N30" s="191"/>
      <c r="O30" s="191"/>
      <c r="P30" s="191"/>
      <c r="Q30" s="191"/>
      <c r="R30" s="191"/>
    </row>
    <row r="31" spans="2:18" ht="14.45">
      <c r="B31" s="238" t="s">
        <v>1190</v>
      </c>
      <c r="C31" s="191"/>
      <c r="D31" s="191"/>
      <c r="E31" s="191"/>
      <c r="F31" s="191"/>
      <c r="G31" s="191"/>
      <c r="H31" s="191"/>
      <c r="I31" s="360"/>
      <c r="J31" s="360"/>
      <c r="K31" s="360"/>
      <c r="L31" s="360"/>
      <c r="M31" s="191"/>
      <c r="N31" s="191"/>
      <c r="O31" s="191"/>
      <c r="P31" s="191"/>
      <c r="Q31" s="191"/>
      <c r="R31" s="191"/>
    </row>
    <row r="32" spans="2:18" ht="14.45">
      <c r="B32" s="238" t="s">
        <v>1192</v>
      </c>
      <c r="C32" s="191"/>
      <c r="D32" s="191"/>
      <c r="E32" s="191"/>
      <c r="F32" s="191"/>
      <c r="G32" s="191"/>
      <c r="H32" s="191"/>
      <c r="I32" s="191"/>
      <c r="J32" s="191"/>
      <c r="K32" s="191"/>
      <c r="L32" s="191"/>
      <c r="M32" s="360"/>
      <c r="N32" s="360"/>
      <c r="O32" s="360"/>
      <c r="P32" s="360"/>
      <c r="Q32" s="191"/>
      <c r="R32" s="191"/>
    </row>
    <row r="33" spans="2:18" ht="14.45">
      <c r="B33" s="238" t="s">
        <v>1194</v>
      </c>
      <c r="C33" s="191"/>
      <c r="D33" s="191"/>
      <c r="E33" s="191"/>
      <c r="F33" s="191"/>
      <c r="G33" s="191"/>
      <c r="H33" s="191"/>
      <c r="I33" s="191"/>
      <c r="J33" s="191"/>
      <c r="K33" s="191"/>
      <c r="L33" s="191"/>
      <c r="M33" s="191"/>
      <c r="N33" s="191"/>
      <c r="O33" s="191"/>
      <c r="P33" s="191"/>
      <c r="Q33" s="360"/>
      <c r="R33" s="360"/>
    </row>
    <row r="37" spans="2:18" ht="14.45">
      <c r="B37" s="189" t="s">
        <v>1221</v>
      </c>
    </row>
    <row r="38" spans="2:18" ht="14.45">
      <c r="B38" s="237" t="s">
        <v>1222</v>
      </c>
      <c r="C38" s="190" t="s">
        <v>1223</v>
      </c>
      <c r="D38" s="190" t="s">
        <v>1224</v>
      </c>
    </row>
    <row r="39" spans="2:18" ht="14.45">
      <c r="B39" s="238" t="s">
        <v>1225</v>
      </c>
      <c r="C39" s="191" t="s">
        <v>1226</v>
      </c>
      <c r="D39" s="537" t="s">
        <v>1227</v>
      </c>
    </row>
    <row r="40" spans="2:18" ht="14.45">
      <c r="B40" s="238" t="s">
        <v>1188</v>
      </c>
      <c r="C40" s="191" t="s">
        <v>1228</v>
      </c>
      <c r="D40" s="537"/>
    </row>
    <row r="41" spans="2:18" ht="14.45">
      <c r="B41" s="238" t="s">
        <v>1190</v>
      </c>
      <c r="C41" s="191" t="s">
        <v>1229</v>
      </c>
      <c r="D41" s="537" t="s">
        <v>1230</v>
      </c>
    </row>
    <row r="42" spans="2:18" ht="14.45">
      <c r="B42" s="238" t="s">
        <v>1192</v>
      </c>
      <c r="C42" s="191" t="s">
        <v>1231</v>
      </c>
      <c r="D42" s="537"/>
    </row>
    <row r="43" spans="2:18" ht="14.45">
      <c r="B43" s="238" t="s">
        <v>1194</v>
      </c>
      <c r="C43" s="191"/>
      <c r="D43" s="191"/>
    </row>
    <row r="47" spans="2:18">
      <c r="B47" s="388" t="s">
        <v>365</v>
      </c>
      <c r="C47" s="388" t="s">
        <v>1232</v>
      </c>
      <c r="D47" s="388" t="s">
        <v>1233</v>
      </c>
    </row>
    <row r="48" spans="2:18">
      <c r="B48" s="389">
        <v>1</v>
      </c>
      <c r="C48" s="389" t="s">
        <v>1234</v>
      </c>
      <c r="D48" s="389"/>
    </row>
    <row r="49" spans="2:4">
      <c r="B49" s="389">
        <v>1</v>
      </c>
      <c r="C49" s="389" t="s">
        <v>1235</v>
      </c>
      <c r="D49" s="388"/>
    </row>
    <row r="50" spans="2:4">
      <c r="B50" s="389">
        <v>1</v>
      </c>
      <c r="C50" s="389" t="s">
        <v>1236</v>
      </c>
      <c r="D50" s="388"/>
    </row>
    <row r="51" spans="2:4">
      <c r="B51" s="389">
        <v>2</v>
      </c>
      <c r="C51" s="389" t="s">
        <v>1237</v>
      </c>
      <c r="D51" s="388"/>
    </row>
    <row r="52" spans="2:4">
      <c r="B52" s="389">
        <v>2</v>
      </c>
      <c r="C52" s="389" t="s">
        <v>1238</v>
      </c>
      <c r="D52" s="388"/>
    </row>
    <row r="53" spans="2:4">
      <c r="B53" s="389">
        <v>2</v>
      </c>
      <c r="C53" s="389" t="s">
        <v>1239</v>
      </c>
      <c r="D53" s="389"/>
    </row>
    <row r="54" spans="2:4">
      <c r="B54" s="389">
        <v>3</v>
      </c>
      <c r="C54" s="389" t="s">
        <v>1240</v>
      </c>
      <c r="D54" s="388"/>
    </row>
    <row r="55" spans="2:4">
      <c r="B55" s="389">
        <v>3</v>
      </c>
      <c r="C55" s="389" t="s">
        <v>1241</v>
      </c>
      <c r="D55" s="388"/>
    </row>
    <row r="56" spans="2:4">
      <c r="B56" s="389">
        <v>3</v>
      </c>
      <c r="C56" s="389" t="s">
        <v>1242</v>
      </c>
      <c r="D56" s="389"/>
    </row>
  </sheetData>
  <mergeCells count="6">
    <mergeCell ref="D41:D42"/>
    <mergeCell ref="C5:D5"/>
    <mergeCell ref="C11:D11"/>
    <mergeCell ref="C12:E12"/>
    <mergeCell ref="G19:H19"/>
    <mergeCell ref="D39:D4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7ADC3-8E89-4418-8FDE-FE1D87854583}">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F75B0-1C5D-4617-A112-AD9EA5601105}">
  <dimension ref="B4:R33"/>
  <sheetViews>
    <sheetView topLeftCell="B1" workbookViewId="0">
      <selection activeCell="M19" sqref="M19"/>
    </sheetView>
  </sheetViews>
  <sheetFormatPr defaultRowHeight="14.45"/>
  <cols>
    <col min="2" max="2" width="45.28515625" customWidth="1"/>
    <col min="3" max="3" width="16.42578125" customWidth="1"/>
    <col min="4" max="4" width="20.140625" customWidth="1"/>
    <col min="5" max="5" width="18" customWidth="1"/>
    <col min="6" max="6" width="10.28515625" customWidth="1"/>
    <col min="8" max="9" width="12.140625" customWidth="1"/>
    <col min="10" max="10" width="14.5703125" customWidth="1"/>
    <col min="11" max="11" width="16" customWidth="1"/>
  </cols>
  <sheetData>
    <row r="4" spans="2:12" ht="43.15">
      <c r="B4" s="237" t="s">
        <v>1175</v>
      </c>
      <c r="C4" s="243" t="s">
        <v>1176</v>
      </c>
      <c r="D4" s="243" t="s">
        <v>1177</v>
      </c>
      <c r="E4" s="243" t="s">
        <v>1178</v>
      </c>
      <c r="F4" s="244" t="s">
        <v>1179</v>
      </c>
      <c r="G4" s="245" t="s">
        <v>1180</v>
      </c>
      <c r="H4" s="244" t="s">
        <v>1181</v>
      </c>
      <c r="I4" s="244" t="s">
        <v>1182</v>
      </c>
      <c r="J4" s="244" t="s">
        <v>1183</v>
      </c>
      <c r="K4" s="244" t="s">
        <v>1184</v>
      </c>
    </row>
    <row r="5" spans="2:12">
      <c r="B5" s="238" t="s">
        <v>1185</v>
      </c>
      <c r="C5" s="567">
        <v>120</v>
      </c>
      <c r="D5" s="567"/>
      <c r="E5" s="238">
        <v>120</v>
      </c>
      <c r="F5" s="191">
        <v>120</v>
      </c>
      <c r="G5" s="193">
        <f>E5</f>
        <v>120</v>
      </c>
      <c r="H5" s="240">
        <f t="shared" ref="H5:H11" si="0">F5/$G$13</f>
        <v>24</v>
      </c>
      <c r="I5" s="240" t="s">
        <v>1243</v>
      </c>
      <c r="J5" s="240">
        <f>G5/$G$13</f>
        <v>24</v>
      </c>
      <c r="K5" s="240">
        <v>1</v>
      </c>
    </row>
    <row r="6" spans="2:12">
      <c r="B6" s="238" t="s">
        <v>1186</v>
      </c>
      <c r="C6" s="238">
        <v>50</v>
      </c>
      <c r="D6" s="238">
        <v>50</v>
      </c>
      <c r="E6" s="238">
        <v>100</v>
      </c>
      <c r="F6" s="191">
        <f>C6+D6</f>
        <v>100</v>
      </c>
      <c r="G6" s="193">
        <f t="shared" ref="G6:G9" si="1">E6</f>
        <v>100</v>
      </c>
      <c r="H6" s="240">
        <f t="shared" si="0"/>
        <v>20</v>
      </c>
      <c r="I6" s="240" t="s">
        <v>1243</v>
      </c>
      <c r="J6" s="240">
        <f>G6/$G$13</f>
        <v>20</v>
      </c>
      <c r="K6" s="240">
        <v>1</v>
      </c>
    </row>
    <row r="7" spans="2:12">
      <c r="B7" s="238" t="s">
        <v>1187</v>
      </c>
      <c r="C7" s="238">
        <v>50</v>
      </c>
      <c r="D7" s="238">
        <v>120</v>
      </c>
      <c r="E7" s="238">
        <v>160</v>
      </c>
      <c r="F7" s="191">
        <f t="shared" ref="F7:F12" si="2">C7+D7</f>
        <v>170</v>
      </c>
      <c r="G7" s="193">
        <f t="shared" si="1"/>
        <v>160</v>
      </c>
      <c r="H7" s="240">
        <f t="shared" si="0"/>
        <v>34</v>
      </c>
      <c r="I7" s="240" t="s">
        <v>1243</v>
      </c>
      <c r="J7" s="240">
        <f t="shared" ref="J7:J11" si="3">G7/$G$13</f>
        <v>32</v>
      </c>
      <c r="K7" s="240">
        <v>1</v>
      </c>
    </row>
    <row r="8" spans="2:12">
      <c r="B8" s="238" t="s">
        <v>1188</v>
      </c>
      <c r="C8" s="238">
        <v>70</v>
      </c>
      <c r="D8" s="238">
        <v>150</v>
      </c>
      <c r="E8" s="238">
        <v>600</v>
      </c>
      <c r="F8" s="191">
        <f t="shared" si="2"/>
        <v>220</v>
      </c>
      <c r="G8" s="193">
        <f t="shared" si="1"/>
        <v>600</v>
      </c>
      <c r="H8" s="240">
        <f t="shared" si="0"/>
        <v>44</v>
      </c>
      <c r="I8" s="240" t="s">
        <v>1244</v>
      </c>
      <c r="J8" s="240">
        <f t="shared" si="3"/>
        <v>120</v>
      </c>
      <c r="K8" s="240" t="s">
        <v>1189</v>
      </c>
    </row>
    <row r="9" spans="2:12">
      <c r="B9" s="238" t="s">
        <v>1190</v>
      </c>
      <c r="C9" s="238">
        <v>70</v>
      </c>
      <c r="D9" s="238">
        <v>150</v>
      </c>
      <c r="E9" s="238">
        <v>600</v>
      </c>
      <c r="F9" s="191">
        <f t="shared" si="2"/>
        <v>220</v>
      </c>
      <c r="G9" s="193">
        <f t="shared" si="1"/>
        <v>600</v>
      </c>
      <c r="H9" s="240">
        <f t="shared" si="0"/>
        <v>44</v>
      </c>
      <c r="I9" s="240" t="s">
        <v>1245</v>
      </c>
      <c r="J9" s="240">
        <f t="shared" si="3"/>
        <v>120</v>
      </c>
      <c r="K9" s="240" t="s">
        <v>1191</v>
      </c>
      <c r="L9" s="241"/>
    </row>
    <row r="10" spans="2:12">
      <c r="B10" s="238" t="s">
        <v>1192</v>
      </c>
      <c r="C10" s="238">
        <v>50</v>
      </c>
      <c r="D10" s="238">
        <v>150</v>
      </c>
      <c r="E10" s="238">
        <v>600</v>
      </c>
      <c r="F10" s="191">
        <f t="shared" si="2"/>
        <v>200</v>
      </c>
      <c r="G10" s="193">
        <v>600</v>
      </c>
      <c r="H10" s="240">
        <f t="shared" si="0"/>
        <v>40</v>
      </c>
      <c r="I10" s="240" t="s">
        <v>1246</v>
      </c>
      <c r="J10" s="240">
        <f t="shared" si="3"/>
        <v>120</v>
      </c>
      <c r="K10" s="240" t="s">
        <v>1193</v>
      </c>
    </row>
    <row r="11" spans="2:12">
      <c r="B11" s="238" t="s">
        <v>1194</v>
      </c>
      <c r="C11" s="567">
        <v>300</v>
      </c>
      <c r="D11" s="567"/>
      <c r="E11" s="238">
        <v>300</v>
      </c>
      <c r="F11" s="191">
        <f t="shared" si="2"/>
        <v>300</v>
      </c>
      <c r="G11" s="193">
        <f>E11</f>
        <v>300</v>
      </c>
      <c r="H11" s="240">
        <f t="shared" si="0"/>
        <v>60</v>
      </c>
      <c r="I11" s="240">
        <v>8</v>
      </c>
      <c r="J11" s="240">
        <f t="shared" si="3"/>
        <v>60</v>
      </c>
      <c r="K11" s="240">
        <v>8</v>
      </c>
    </row>
    <row r="12" spans="2:12">
      <c r="B12" s="238" t="s">
        <v>1195</v>
      </c>
      <c r="C12" s="567">
        <v>60</v>
      </c>
      <c r="D12" s="567"/>
      <c r="E12" s="567"/>
      <c r="F12" s="191">
        <f t="shared" si="2"/>
        <v>60</v>
      </c>
      <c r="G12" s="191">
        <v>60</v>
      </c>
      <c r="H12" s="64"/>
      <c r="I12" s="64"/>
      <c r="J12" s="64"/>
    </row>
    <row r="13" spans="2:12">
      <c r="B13" s="191" t="s">
        <v>1196</v>
      </c>
      <c r="C13" s="191"/>
      <c r="D13" s="191"/>
      <c r="E13" s="191"/>
      <c r="F13" s="191">
        <v>3</v>
      </c>
      <c r="G13" s="191">
        <v>5</v>
      </c>
      <c r="H13" s="191"/>
      <c r="I13" s="64"/>
      <c r="J13" s="64"/>
      <c r="K13" s="64"/>
    </row>
    <row r="14" spans="2:12">
      <c r="B14" s="191" t="s">
        <v>1197</v>
      </c>
      <c r="C14" s="191"/>
      <c r="D14" s="191"/>
      <c r="E14" s="191"/>
      <c r="F14" s="191">
        <f>SUM(F5:F12)</f>
        <v>1390</v>
      </c>
      <c r="G14" s="191">
        <f>SUM(G5:G12)</f>
        <v>2540</v>
      </c>
      <c r="H14" s="191"/>
      <c r="I14" t="s">
        <v>1198</v>
      </c>
    </row>
    <row r="15" spans="2:12">
      <c r="B15" s="191"/>
      <c r="C15" s="191"/>
      <c r="D15" s="191"/>
      <c r="E15" s="191"/>
      <c r="F15" s="355">
        <f>F14/F13</f>
        <v>463.33333333333331</v>
      </c>
      <c r="G15" s="191">
        <f>G14/G13</f>
        <v>508</v>
      </c>
      <c r="H15" s="191"/>
    </row>
    <row r="16" spans="2:12">
      <c r="B16" s="191" t="s">
        <v>1199</v>
      </c>
      <c r="C16" s="191"/>
      <c r="D16" s="191"/>
      <c r="E16" s="191"/>
      <c r="F16" s="355">
        <f>F15/8</f>
        <v>57.916666666666664</v>
      </c>
      <c r="G16" s="191">
        <f>G15/8</f>
        <v>63.5</v>
      </c>
      <c r="H16" s="191"/>
    </row>
    <row r="17" spans="2:18">
      <c r="B17" s="191" t="s">
        <v>1200</v>
      </c>
      <c r="C17" s="191"/>
      <c r="D17" s="191"/>
      <c r="E17" s="191"/>
      <c r="F17" s="356">
        <f>F16/5</f>
        <v>11.583333333333332</v>
      </c>
      <c r="G17" s="190">
        <f>G16/5</f>
        <v>12.7</v>
      </c>
      <c r="H17" s="190"/>
    </row>
    <row r="18" spans="2:18">
      <c r="B18" s="191"/>
      <c r="C18" s="191"/>
      <c r="D18" s="191"/>
      <c r="E18" s="191"/>
      <c r="F18" s="191"/>
      <c r="G18" s="191"/>
      <c r="H18" s="191"/>
    </row>
    <row r="19" spans="2:18">
      <c r="B19" s="191" t="s">
        <v>1201</v>
      </c>
      <c r="C19" s="191"/>
      <c r="D19" s="191"/>
      <c r="E19" s="191"/>
      <c r="F19" s="191"/>
      <c r="G19" s="538" t="s">
        <v>1247</v>
      </c>
      <c r="H19" s="539"/>
    </row>
    <row r="21" spans="2:18" ht="21">
      <c r="F21" s="239" t="s">
        <v>1248</v>
      </c>
      <c r="G21" s="239"/>
    </row>
    <row r="26" spans="2:18">
      <c r="C26" t="s">
        <v>1205</v>
      </c>
      <c r="D26" t="s">
        <v>1206</v>
      </c>
      <c r="E26" t="s">
        <v>1207</v>
      </c>
      <c r="F26" t="s">
        <v>1208</v>
      </c>
      <c r="G26" t="s">
        <v>1209</v>
      </c>
      <c r="H26" t="s">
        <v>1210</v>
      </c>
      <c r="I26" t="s">
        <v>1211</v>
      </c>
      <c r="J26" t="s">
        <v>1212</v>
      </c>
      <c r="K26" t="s">
        <v>1213</v>
      </c>
      <c r="L26" t="s">
        <v>1214</v>
      </c>
      <c r="M26" t="s">
        <v>1215</v>
      </c>
      <c r="N26" t="s">
        <v>1216</v>
      </c>
      <c r="O26" t="s">
        <v>1217</v>
      </c>
      <c r="P26" t="s">
        <v>1218</v>
      </c>
      <c r="Q26" t="s">
        <v>1219</v>
      </c>
      <c r="R26" t="s">
        <v>1220</v>
      </c>
    </row>
    <row r="27" spans="2:18">
      <c r="B27" s="238" t="s">
        <v>1185</v>
      </c>
      <c r="C27" s="242"/>
    </row>
    <row r="28" spans="2:18">
      <c r="B28" s="238" t="s">
        <v>1186</v>
      </c>
      <c r="D28" s="242"/>
    </row>
    <row r="29" spans="2:18">
      <c r="B29" s="238" t="s">
        <v>1187</v>
      </c>
      <c r="D29" s="242"/>
    </row>
    <row r="30" spans="2:18">
      <c r="B30" s="238" t="s">
        <v>1188</v>
      </c>
      <c r="E30" s="242"/>
      <c r="F30" s="242"/>
      <c r="G30" s="242"/>
      <c r="H30" s="242"/>
    </row>
    <row r="31" spans="2:18">
      <c r="B31" s="238" t="s">
        <v>1190</v>
      </c>
      <c r="I31" s="242"/>
      <c r="J31" s="242"/>
      <c r="K31" s="242"/>
      <c r="L31" s="242"/>
    </row>
    <row r="32" spans="2:18">
      <c r="B32" s="238" t="s">
        <v>1192</v>
      </c>
      <c r="M32" s="242"/>
      <c r="N32" s="242"/>
      <c r="O32" s="242"/>
      <c r="P32" s="242"/>
    </row>
    <row r="33" spans="2:18">
      <c r="B33" s="238" t="s">
        <v>1194</v>
      </c>
      <c r="Q33" s="242"/>
      <c r="R33" s="242"/>
    </row>
  </sheetData>
  <mergeCells count="4">
    <mergeCell ref="C5:D5"/>
    <mergeCell ref="C11:D11"/>
    <mergeCell ref="C12:E12"/>
    <mergeCell ref="G19:H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CDB7D-6C34-463E-882F-7C55BEB8C1F6}">
  <dimension ref="A1:CT64"/>
  <sheetViews>
    <sheetView workbookViewId="0">
      <pane xSplit="8" topLeftCell="M15" activePane="topRight" state="frozen"/>
      <selection pane="topRight" activeCell="F40" sqref="F40:F42"/>
    </sheetView>
  </sheetViews>
  <sheetFormatPr defaultRowHeight="15"/>
  <cols>
    <col min="3" max="3" width="61.42578125" customWidth="1"/>
    <col min="4" max="4" width="18" customWidth="1"/>
    <col min="5" max="5" width="11.42578125" customWidth="1"/>
    <col min="6" max="6" width="12.140625" customWidth="1"/>
    <col min="9" max="9" width="5.140625" customWidth="1"/>
    <col min="10" max="10" width="4.85546875" customWidth="1"/>
    <col min="11" max="11" width="5" customWidth="1"/>
    <col min="12" max="12" width="4.5703125" customWidth="1"/>
    <col min="13" max="13" width="4" customWidth="1"/>
    <col min="14" max="14" width="4.7109375" customWidth="1"/>
    <col min="15" max="15" width="4" customWidth="1"/>
    <col min="16" max="16" width="5" customWidth="1"/>
    <col min="17" max="17" width="4.85546875" customWidth="1"/>
    <col min="18" max="18" width="4.28515625" customWidth="1"/>
    <col min="19" max="19" width="4.85546875" customWidth="1"/>
    <col min="20" max="20" width="4.140625" customWidth="1"/>
    <col min="21" max="22" width="4.7109375" customWidth="1"/>
    <col min="23" max="23" width="3.7109375" customWidth="1"/>
    <col min="24" max="24" width="3.5703125" customWidth="1"/>
    <col min="25" max="25" width="4.85546875" customWidth="1"/>
    <col min="26" max="26" width="3.7109375" customWidth="1"/>
    <col min="27" max="27" width="4" customWidth="1"/>
    <col min="28" max="28" width="3.85546875" customWidth="1"/>
    <col min="29" max="29" width="4.7109375" customWidth="1"/>
    <col min="30" max="30" width="4" customWidth="1"/>
    <col min="31" max="31" width="3.7109375" customWidth="1"/>
    <col min="32" max="32" width="4.5703125" customWidth="1"/>
    <col min="33" max="33" width="4.42578125" customWidth="1"/>
    <col min="34" max="38" width="3.5703125" customWidth="1"/>
    <col min="39" max="39" width="3.42578125" customWidth="1"/>
    <col min="40" max="40" width="3.7109375" customWidth="1"/>
    <col min="41" max="41" width="4.28515625" customWidth="1"/>
    <col min="42" max="42" width="3" customWidth="1"/>
    <col min="43" max="43" width="4" customWidth="1"/>
    <col min="44" max="44" width="3.28515625" customWidth="1"/>
    <col min="45" max="45" width="4" customWidth="1"/>
    <col min="46" max="46" width="3.28515625" customWidth="1"/>
    <col min="47" max="47" width="4" customWidth="1"/>
    <col min="48" max="48" width="3.5703125" customWidth="1"/>
    <col min="49" max="49" width="3.7109375" customWidth="1"/>
    <col min="50" max="50" width="4.42578125" customWidth="1"/>
    <col min="51" max="51" width="3.85546875" customWidth="1"/>
    <col min="52" max="52" width="3.42578125" customWidth="1"/>
    <col min="53" max="53" width="3.140625" customWidth="1"/>
    <col min="54" max="54" width="4.140625" customWidth="1"/>
    <col min="55" max="55" width="3.7109375" customWidth="1"/>
    <col min="56" max="56" width="4" customWidth="1"/>
    <col min="57" max="57" width="4.5703125" customWidth="1"/>
    <col min="58" max="58" width="3.85546875" customWidth="1"/>
    <col min="59" max="59" width="4.7109375" customWidth="1"/>
    <col min="60" max="60" width="4" customWidth="1"/>
    <col min="61" max="61" width="4.28515625" customWidth="1"/>
    <col min="62" max="62" width="4.7109375" customWidth="1"/>
    <col min="63" max="63" width="3.7109375" customWidth="1"/>
    <col min="64" max="64" width="4.140625" customWidth="1"/>
    <col min="65" max="65" width="4.28515625" customWidth="1"/>
    <col min="66" max="66" width="4.42578125" customWidth="1"/>
    <col min="67" max="69" width="3.5703125" customWidth="1"/>
    <col min="70" max="70" width="3.85546875" customWidth="1"/>
    <col min="71" max="72" width="3.42578125" customWidth="1"/>
    <col min="73" max="73" width="3.5703125" customWidth="1"/>
    <col min="74" max="76" width="3.42578125" customWidth="1"/>
    <col min="77" max="78" width="3.7109375" customWidth="1"/>
    <col min="79" max="79" width="3.85546875" customWidth="1"/>
    <col min="80" max="81" width="4.140625" customWidth="1"/>
    <col min="82" max="82" width="3.5703125" customWidth="1"/>
    <col min="83" max="83" width="3.85546875" customWidth="1"/>
    <col min="84" max="85" width="3.5703125" customWidth="1"/>
    <col min="86" max="86" width="3.85546875" customWidth="1"/>
    <col min="87" max="87" width="3.140625" customWidth="1"/>
    <col min="88" max="88" width="3.28515625" customWidth="1"/>
    <col min="89" max="89" width="4" customWidth="1"/>
    <col min="90" max="90" width="3.28515625" customWidth="1"/>
    <col min="91" max="91" width="3" customWidth="1"/>
    <col min="92" max="92" width="3.42578125" customWidth="1"/>
    <col min="93" max="94" width="3.7109375" customWidth="1"/>
    <col min="95" max="95" width="3.42578125" customWidth="1"/>
    <col min="96" max="96" width="3.28515625" customWidth="1"/>
    <col min="97" max="97" width="4" customWidth="1"/>
    <col min="98" max="98" width="3.5703125" customWidth="1"/>
  </cols>
  <sheetData>
    <row r="1" spans="1:98">
      <c r="A1" s="246"/>
      <c r="B1" s="246"/>
      <c r="C1" s="246"/>
      <c r="D1" s="246"/>
      <c r="E1" s="246"/>
      <c r="F1" s="246"/>
      <c r="G1" s="246"/>
      <c r="H1" s="246"/>
      <c r="I1" s="568" t="s">
        <v>1249</v>
      </c>
      <c r="J1" s="568"/>
      <c r="K1" s="568"/>
      <c r="L1" s="568"/>
      <c r="M1" s="568"/>
      <c r="N1" s="569" t="s">
        <v>1250</v>
      </c>
      <c r="O1" s="570"/>
      <c r="P1" s="570"/>
      <c r="Q1" s="570"/>
      <c r="R1" s="570"/>
      <c r="S1" s="569" t="s">
        <v>1251</v>
      </c>
      <c r="T1" s="570"/>
      <c r="U1" s="570"/>
      <c r="V1" s="570"/>
      <c r="W1" s="570"/>
      <c r="X1" s="569" t="s">
        <v>1252</v>
      </c>
      <c r="Y1" s="570"/>
      <c r="Z1" s="570"/>
      <c r="AA1" s="570"/>
      <c r="AB1" s="570"/>
      <c r="AC1" s="569" t="s">
        <v>1253</v>
      </c>
      <c r="AD1" s="570"/>
      <c r="AE1" s="570"/>
      <c r="AF1" s="570"/>
      <c r="AG1" s="570"/>
      <c r="AH1" s="570" t="s">
        <v>1254</v>
      </c>
      <c r="AI1" s="570"/>
      <c r="AJ1" s="570"/>
      <c r="AK1" s="570"/>
      <c r="AL1" s="570"/>
      <c r="AM1" s="569" t="s">
        <v>1255</v>
      </c>
      <c r="AN1" s="570"/>
      <c r="AO1" s="570"/>
      <c r="AP1" s="570"/>
      <c r="AQ1" s="570"/>
      <c r="AR1" s="570" t="s">
        <v>1256</v>
      </c>
      <c r="AS1" s="570"/>
      <c r="AT1" s="570"/>
      <c r="AU1" s="570"/>
      <c r="AV1" s="570"/>
      <c r="AW1" s="569" t="s">
        <v>1257</v>
      </c>
      <c r="AX1" s="570"/>
      <c r="AY1" s="570"/>
      <c r="AZ1" s="570"/>
      <c r="BA1" s="570"/>
      <c r="BB1" s="570" t="s">
        <v>1258</v>
      </c>
      <c r="BC1" s="570"/>
      <c r="BD1" s="570"/>
      <c r="BE1" s="570"/>
      <c r="BF1" s="570"/>
      <c r="BG1" s="569" t="s">
        <v>1259</v>
      </c>
      <c r="BH1" s="570"/>
      <c r="BI1" s="570"/>
      <c r="BJ1" s="570"/>
      <c r="BK1" s="570"/>
      <c r="BL1" s="570" t="s">
        <v>1260</v>
      </c>
      <c r="BM1" s="570"/>
      <c r="BN1" s="570"/>
      <c r="BO1" s="570"/>
      <c r="BP1" s="570"/>
      <c r="BQ1" s="569" t="s">
        <v>1261</v>
      </c>
      <c r="BR1" s="570"/>
      <c r="BS1" s="570"/>
      <c r="BT1" s="570"/>
      <c r="BU1" s="570"/>
      <c r="BV1" s="570" t="s">
        <v>1262</v>
      </c>
      <c r="BW1" s="570"/>
      <c r="BX1" s="570"/>
      <c r="BY1" s="570"/>
      <c r="BZ1" s="570"/>
      <c r="CA1" s="569" t="s">
        <v>1263</v>
      </c>
      <c r="CB1" s="570"/>
      <c r="CC1" s="570"/>
      <c r="CD1" s="570"/>
      <c r="CE1" s="570"/>
      <c r="CF1" s="570" t="s">
        <v>1264</v>
      </c>
      <c r="CG1" s="570"/>
      <c r="CH1" s="570"/>
      <c r="CI1" s="570"/>
      <c r="CJ1" s="570"/>
      <c r="CK1" s="569" t="s">
        <v>1265</v>
      </c>
      <c r="CL1" s="570"/>
      <c r="CM1" s="570"/>
      <c r="CN1" s="570"/>
      <c r="CO1" s="570"/>
      <c r="CP1" s="570" t="s">
        <v>1266</v>
      </c>
      <c r="CQ1" s="570"/>
      <c r="CR1" s="570"/>
      <c r="CS1" s="570"/>
      <c r="CT1" s="570"/>
    </row>
    <row r="2" spans="1:98" ht="30">
      <c r="A2" s="247" t="s">
        <v>365</v>
      </c>
      <c r="B2" s="247" t="s">
        <v>1267</v>
      </c>
      <c r="C2" s="247" t="s">
        <v>6</v>
      </c>
      <c r="D2" s="247" t="s">
        <v>1268</v>
      </c>
      <c r="E2" s="248" t="s">
        <v>1269</v>
      </c>
      <c r="F2" s="248" t="s">
        <v>1270</v>
      </c>
      <c r="G2" s="249" t="s">
        <v>1271</v>
      </c>
      <c r="H2" s="249" t="s">
        <v>1272</v>
      </c>
      <c r="I2" s="491" t="s">
        <v>1273</v>
      </c>
      <c r="J2" s="492" t="s">
        <v>1274</v>
      </c>
      <c r="K2" s="492" t="s">
        <v>1275</v>
      </c>
      <c r="L2" s="492" t="s">
        <v>1276</v>
      </c>
      <c r="M2" s="493" t="s">
        <v>1277</v>
      </c>
      <c r="N2" s="494" t="s">
        <v>1273</v>
      </c>
      <c r="O2" s="495" t="s">
        <v>1274</v>
      </c>
      <c r="P2" s="495" t="s">
        <v>1275</v>
      </c>
      <c r="Q2" s="495" t="s">
        <v>1276</v>
      </c>
      <c r="R2" s="496" t="s">
        <v>1277</v>
      </c>
      <c r="S2" s="494" t="s">
        <v>1273</v>
      </c>
      <c r="T2" s="495" t="s">
        <v>1274</v>
      </c>
      <c r="U2" s="495" t="s">
        <v>1275</v>
      </c>
      <c r="V2" s="495" t="s">
        <v>1276</v>
      </c>
      <c r="W2" s="497" t="s">
        <v>1277</v>
      </c>
      <c r="X2" s="494" t="s">
        <v>1273</v>
      </c>
      <c r="Y2" s="495" t="s">
        <v>1274</v>
      </c>
      <c r="Z2" s="495" t="s">
        <v>1275</v>
      </c>
      <c r="AA2" s="495" t="s">
        <v>1276</v>
      </c>
      <c r="AB2" s="497" t="s">
        <v>1277</v>
      </c>
      <c r="AC2" s="494" t="s">
        <v>1273</v>
      </c>
      <c r="AD2" s="495" t="s">
        <v>1274</v>
      </c>
      <c r="AE2" s="495" t="s">
        <v>1275</v>
      </c>
      <c r="AF2" s="495" t="s">
        <v>1276</v>
      </c>
      <c r="AG2" s="497" t="s">
        <v>1277</v>
      </c>
      <c r="AH2" s="498" t="s">
        <v>1273</v>
      </c>
      <c r="AI2" s="495" t="s">
        <v>1274</v>
      </c>
      <c r="AJ2" s="495" t="s">
        <v>1275</v>
      </c>
      <c r="AK2" s="495" t="s">
        <v>1276</v>
      </c>
      <c r="AL2" s="496" t="s">
        <v>1277</v>
      </c>
      <c r="AM2" s="253" t="s">
        <v>1273</v>
      </c>
      <c r="AN2" s="254" t="s">
        <v>1274</v>
      </c>
      <c r="AO2" s="254" t="s">
        <v>1275</v>
      </c>
      <c r="AP2" s="254" t="s">
        <v>1276</v>
      </c>
      <c r="AQ2" s="256" t="s">
        <v>1277</v>
      </c>
      <c r="AR2" s="257" t="s">
        <v>1273</v>
      </c>
      <c r="AS2" s="254" t="s">
        <v>1274</v>
      </c>
      <c r="AT2" s="254" t="s">
        <v>1275</v>
      </c>
      <c r="AU2" s="254" t="s">
        <v>1276</v>
      </c>
      <c r="AV2" s="255" t="s">
        <v>1277</v>
      </c>
      <c r="AW2" s="253" t="s">
        <v>1273</v>
      </c>
      <c r="AX2" s="254" t="s">
        <v>1274</v>
      </c>
      <c r="AY2" s="254" t="s">
        <v>1275</v>
      </c>
      <c r="AZ2" s="254" t="s">
        <v>1276</v>
      </c>
      <c r="BA2" s="256" t="s">
        <v>1277</v>
      </c>
      <c r="BB2" s="257" t="s">
        <v>1273</v>
      </c>
      <c r="BC2" s="254" t="s">
        <v>1274</v>
      </c>
      <c r="BD2" s="254" t="s">
        <v>1275</v>
      </c>
      <c r="BE2" s="254" t="s">
        <v>1276</v>
      </c>
      <c r="BF2" s="255" t="s">
        <v>1277</v>
      </c>
      <c r="BG2" s="253" t="s">
        <v>1273</v>
      </c>
      <c r="BH2" s="254" t="s">
        <v>1274</v>
      </c>
      <c r="BI2" s="254" t="s">
        <v>1275</v>
      </c>
      <c r="BJ2" s="254" t="s">
        <v>1276</v>
      </c>
      <c r="BK2" s="256" t="s">
        <v>1277</v>
      </c>
      <c r="BL2" s="257" t="s">
        <v>1273</v>
      </c>
      <c r="BM2" s="254" t="s">
        <v>1274</v>
      </c>
      <c r="BN2" s="254" t="s">
        <v>1275</v>
      </c>
      <c r="BO2" s="254" t="s">
        <v>1276</v>
      </c>
      <c r="BP2" s="255" t="s">
        <v>1277</v>
      </c>
      <c r="BQ2" s="253" t="s">
        <v>1273</v>
      </c>
      <c r="BR2" s="254" t="s">
        <v>1274</v>
      </c>
      <c r="BS2" s="254" t="s">
        <v>1275</v>
      </c>
      <c r="BT2" s="254" t="s">
        <v>1276</v>
      </c>
      <c r="BU2" s="256" t="s">
        <v>1277</v>
      </c>
      <c r="BV2" s="257" t="s">
        <v>1273</v>
      </c>
      <c r="BW2" s="254" t="s">
        <v>1274</v>
      </c>
      <c r="BX2" s="254" t="s">
        <v>1275</v>
      </c>
      <c r="BY2" s="254" t="s">
        <v>1276</v>
      </c>
      <c r="BZ2" s="255" t="s">
        <v>1277</v>
      </c>
      <c r="CA2" s="253" t="s">
        <v>1273</v>
      </c>
      <c r="CB2" s="254" t="s">
        <v>1274</v>
      </c>
      <c r="CC2" s="254" t="s">
        <v>1275</v>
      </c>
      <c r="CD2" s="254" t="s">
        <v>1276</v>
      </c>
      <c r="CE2" s="256" t="s">
        <v>1277</v>
      </c>
      <c r="CF2" s="257" t="s">
        <v>1273</v>
      </c>
      <c r="CG2" s="254" t="s">
        <v>1274</v>
      </c>
      <c r="CH2" s="254" t="s">
        <v>1275</v>
      </c>
      <c r="CI2" s="254" t="s">
        <v>1276</v>
      </c>
      <c r="CJ2" s="255" t="s">
        <v>1277</v>
      </c>
      <c r="CK2" s="253" t="s">
        <v>1273</v>
      </c>
      <c r="CL2" s="254" t="s">
        <v>1274</v>
      </c>
      <c r="CM2" s="254" t="s">
        <v>1275</v>
      </c>
      <c r="CN2" s="254" t="s">
        <v>1276</v>
      </c>
      <c r="CO2" s="256" t="s">
        <v>1277</v>
      </c>
      <c r="CP2" s="257" t="s">
        <v>1273</v>
      </c>
      <c r="CQ2" s="254" t="s">
        <v>1274</v>
      </c>
      <c r="CR2" s="254" t="s">
        <v>1275</v>
      </c>
      <c r="CS2" s="254" t="s">
        <v>1276</v>
      </c>
      <c r="CT2" s="255" t="s">
        <v>1277</v>
      </c>
    </row>
    <row r="3" spans="1:98">
      <c r="A3" s="258">
        <v>0</v>
      </c>
      <c r="B3" s="258" t="s">
        <v>1278</v>
      </c>
      <c r="C3" s="258" t="s">
        <v>1279</v>
      </c>
      <c r="D3" s="259" t="s">
        <v>1280</v>
      </c>
      <c r="E3" s="258" t="s">
        <v>1281</v>
      </c>
      <c r="F3" s="258" t="s">
        <v>1281</v>
      </c>
      <c r="G3" s="258"/>
      <c r="H3" s="260">
        <v>0</v>
      </c>
      <c r="I3" s="571" t="s">
        <v>1282</v>
      </c>
      <c r="J3" s="572"/>
      <c r="K3" s="572"/>
      <c r="L3" s="572"/>
      <c r="M3" s="572"/>
      <c r="N3" s="572"/>
      <c r="O3" s="572"/>
      <c r="P3" s="572"/>
      <c r="Q3" s="572"/>
      <c r="R3" s="573"/>
      <c r="S3" s="520"/>
      <c r="T3" s="471"/>
      <c r="U3" s="471"/>
      <c r="V3" s="471"/>
      <c r="W3" s="471"/>
      <c r="X3" s="471"/>
      <c r="Y3" s="471"/>
      <c r="Z3" s="471"/>
      <c r="AA3" s="471"/>
      <c r="AB3" s="471"/>
      <c r="AC3" s="471"/>
      <c r="AD3" s="471"/>
      <c r="AE3" s="471"/>
      <c r="AF3" s="471"/>
      <c r="AG3" s="471"/>
      <c r="AH3" s="471"/>
      <c r="AI3" s="471"/>
      <c r="AJ3" s="471"/>
      <c r="AK3" s="471"/>
      <c r="AL3" s="471"/>
      <c r="AM3" s="484"/>
      <c r="AN3" s="266"/>
      <c r="AO3" s="266"/>
      <c r="AP3" s="266"/>
      <c r="AQ3" s="266"/>
      <c r="AR3" s="266"/>
      <c r="AS3" s="266"/>
      <c r="AT3" s="266"/>
      <c r="AU3" s="266"/>
      <c r="AV3" s="266"/>
      <c r="AW3" s="266"/>
      <c r="AX3" s="266"/>
      <c r="AY3" s="266"/>
      <c r="AZ3" s="266"/>
      <c r="BA3" s="266"/>
      <c r="BB3" s="266"/>
      <c r="BC3" s="266"/>
      <c r="BD3" s="266"/>
      <c r="BE3" s="266"/>
      <c r="BF3" s="266"/>
      <c r="BG3" s="266"/>
      <c r="BH3" s="266"/>
      <c r="BI3" s="266"/>
      <c r="BJ3" s="266"/>
      <c r="BK3" s="266"/>
      <c r="BL3" s="266"/>
      <c r="BM3" s="266"/>
      <c r="BN3" s="266"/>
      <c r="BO3" s="266"/>
      <c r="BP3" s="266"/>
      <c r="BQ3" s="266"/>
      <c r="BR3" s="266"/>
      <c r="BS3" s="266"/>
      <c r="BT3" s="266"/>
      <c r="BU3" s="266"/>
      <c r="BV3" s="266"/>
      <c r="BW3" s="266"/>
      <c r="BX3" s="266"/>
      <c r="BY3" s="266"/>
      <c r="BZ3" s="266"/>
      <c r="CA3" s="266"/>
      <c r="CB3" s="266"/>
      <c r="CC3" s="266"/>
      <c r="CD3" s="266"/>
      <c r="CE3" s="266"/>
      <c r="CF3" s="266"/>
      <c r="CG3" s="266"/>
      <c r="CH3" s="266"/>
      <c r="CI3" s="266"/>
      <c r="CJ3" s="266"/>
      <c r="CK3" s="266"/>
      <c r="CL3" s="266"/>
      <c r="CM3" s="266"/>
      <c r="CN3" s="266"/>
      <c r="CO3" s="266"/>
      <c r="CP3" s="266"/>
      <c r="CQ3" s="266"/>
      <c r="CR3" s="266"/>
      <c r="CS3" s="266"/>
      <c r="CT3" s="266"/>
    </row>
    <row r="4" spans="1:98">
      <c r="A4" s="246">
        <v>0</v>
      </c>
      <c r="B4" s="246" t="s">
        <v>1232</v>
      </c>
      <c r="C4" s="246" t="s">
        <v>1283</v>
      </c>
      <c r="D4" s="246" t="s">
        <v>245</v>
      </c>
      <c r="E4" s="267"/>
      <c r="F4" s="246"/>
      <c r="G4" s="268"/>
      <c r="H4" s="269">
        <v>1</v>
      </c>
      <c r="I4" s="517"/>
      <c r="J4" s="473"/>
      <c r="K4" s="473"/>
      <c r="L4" s="473"/>
      <c r="M4" s="473"/>
      <c r="N4" s="473"/>
      <c r="O4" s="473"/>
      <c r="P4" s="473"/>
      <c r="Q4" s="473"/>
      <c r="R4" s="501"/>
      <c r="S4" s="513"/>
      <c r="T4" s="473"/>
      <c r="U4" s="473"/>
      <c r="V4" s="473"/>
      <c r="W4" s="473"/>
      <c r="X4" s="473"/>
      <c r="Y4" s="473"/>
      <c r="Z4" s="473"/>
      <c r="AA4" s="473"/>
      <c r="AB4" s="473"/>
      <c r="AC4" s="473"/>
      <c r="AD4" s="473"/>
      <c r="AE4" s="473"/>
      <c r="AF4" s="473"/>
      <c r="AG4" s="473"/>
      <c r="AH4" s="473"/>
      <c r="AI4" s="473"/>
      <c r="AJ4" s="473"/>
      <c r="AK4" s="473"/>
      <c r="AL4" s="473"/>
      <c r="AM4" s="327"/>
      <c r="AN4" s="277"/>
      <c r="AO4" s="277"/>
      <c r="AP4" s="277"/>
      <c r="AQ4" s="277"/>
      <c r="AR4" s="277"/>
      <c r="AS4" s="277"/>
      <c r="AT4" s="277"/>
      <c r="AU4" s="277"/>
      <c r="AV4" s="277"/>
      <c r="AW4" s="277"/>
      <c r="AX4" s="277"/>
      <c r="AY4" s="277"/>
      <c r="AZ4" s="277"/>
      <c r="BA4" s="277"/>
      <c r="BB4" s="277"/>
      <c r="BC4" s="277"/>
      <c r="BD4" s="277"/>
      <c r="BE4" s="277"/>
      <c r="BF4" s="277"/>
      <c r="BG4" s="277"/>
      <c r="BH4" s="277"/>
      <c r="BI4" s="277"/>
      <c r="BJ4" s="277"/>
      <c r="BK4" s="277"/>
      <c r="BL4" s="277"/>
      <c r="BM4" s="277"/>
      <c r="BN4" s="277"/>
      <c r="BO4" s="277"/>
      <c r="BP4" s="277"/>
      <c r="BQ4" s="277"/>
      <c r="BR4" s="277"/>
      <c r="BS4" s="277"/>
      <c r="BT4" s="277"/>
      <c r="BU4" s="277"/>
      <c r="BV4" s="277"/>
      <c r="BW4" s="277"/>
      <c r="BX4" s="277"/>
      <c r="BY4" s="277"/>
      <c r="BZ4" s="277"/>
      <c r="CA4" s="277"/>
      <c r="CB4" s="277"/>
      <c r="CC4" s="277"/>
      <c r="CD4" s="277"/>
      <c r="CE4" s="277"/>
      <c r="CF4" s="277"/>
      <c r="CG4" s="277"/>
      <c r="CH4" s="277"/>
      <c r="CI4" s="277"/>
      <c r="CJ4" s="277"/>
      <c r="CK4" s="277"/>
      <c r="CL4" s="277"/>
      <c r="CM4" s="277"/>
      <c r="CN4" s="277"/>
      <c r="CO4" s="277"/>
      <c r="CP4" s="277"/>
      <c r="CQ4" s="277"/>
      <c r="CR4" s="277"/>
      <c r="CS4" s="277"/>
      <c r="CT4" s="277"/>
    </row>
    <row r="5" spans="1:98">
      <c r="A5" s="246">
        <v>0</v>
      </c>
      <c r="B5" s="246" t="s">
        <v>1232</v>
      </c>
      <c r="C5" t="s">
        <v>1284</v>
      </c>
      <c r="D5" s="246" t="s">
        <v>1285</v>
      </c>
      <c r="E5" s="415">
        <v>45938</v>
      </c>
      <c r="F5" s="415">
        <v>45954</v>
      </c>
      <c r="G5" s="268">
        <v>10</v>
      </c>
      <c r="H5" s="269">
        <v>1</v>
      </c>
      <c r="I5" s="523"/>
      <c r="J5" s="480"/>
      <c r="K5" s="480"/>
      <c r="L5" s="480"/>
      <c r="M5" s="480"/>
      <c r="N5" s="480"/>
      <c r="O5" s="480"/>
      <c r="P5" s="480"/>
      <c r="Q5" s="480"/>
      <c r="R5" s="524"/>
      <c r="S5" s="513"/>
      <c r="T5" s="473"/>
      <c r="U5" s="473"/>
      <c r="V5" s="473"/>
      <c r="W5" s="473"/>
      <c r="X5" s="473"/>
      <c r="Y5" s="473"/>
      <c r="Z5" s="473"/>
      <c r="AA5" s="473"/>
      <c r="AB5" s="473"/>
      <c r="AC5" s="473"/>
      <c r="AD5" s="473"/>
      <c r="AE5" s="473"/>
      <c r="AF5" s="473"/>
      <c r="AG5" s="473"/>
      <c r="AH5" s="473"/>
      <c r="AI5" s="473"/>
      <c r="AJ5" s="473"/>
      <c r="AK5" s="473"/>
      <c r="AL5" s="473"/>
      <c r="AM5" s="327"/>
      <c r="AN5" s="277"/>
      <c r="AO5" s="277"/>
      <c r="AP5" s="277"/>
      <c r="AQ5" s="277"/>
      <c r="AR5" s="277"/>
      <c r="AS5" s="277"/>
      <c r="AT5" s="277"/>
      <c r="AU5" s="277"/>
      <c r="AV5" s="277"/>
      <c r="AW5" s="277"/>
      <c r="AX5" s="277"/>
      <c r="AY5" s="277"/>
      <c r="AZ5" s="277"/>
      <c r="BA5" s="277"/>
      <c r="BB5" s="277"/>
      <c r="BC5" s="277"/>
      <c r="BD5" s="277"/>
      <c r="BE5" s="277"/>
      <c r="BF5" s="277"/>
      <c r="BG5" s="277"/>
      <c r="BH5" s="277"/>
      <c r="BI5" s="277"/>
      <c r="BJ5" s="277"/>
      <c r="BK5" s="277"/>
      <c r="BL5" s="277"/>
      <c r="BM5" s="277"/>
      <c r="BN5" s="277"/>
      <c r="BO5" s="277"/>
      <c r="BP5" s="277"/>
      <c r="BQ5" s="277"/>
      <c r="BR5" s="277"/>
      <c r="BS5" s="277"/>
      <c r="BT5" s="277"/>
      <c r="BU5" s="277"/>
      <c r="BV5" s="277"/>
      <c r="BW5" s="277"/>
      <c r="BX5" s="277"/>
      <c r="BY5" s="277"/>
      <c r="BZ5" s="277"/>
      <c r="CA5" s="277"/>
      <c r="CB5" s="277"/>
      <c r="CC5" s="277"/>
      <c r="CD5" s="277"/>
      <c r="CE5" s="277"/>
      <c r="CF5" s="277"/>
      <c r="CG5" s="277"/>
      <c r="CH5" s="277"/>
      <c r="CI5" s="277"/>
      <c r="CJ5" s="277"/>
      <c r="CK5" s="277"/>
      <c r="CL5" s="277"/>
      <c r="CM5" s="277"/>
      <c r="CN5" s="277"/>
      <c r="CO5" s="277"/>
      <c r="CP5" s="277"/>
      <c r="CQ5" s="277"/>
      <c r="CR5" s="277"/>
      <c r="CS5" s="277"/>
      <c r="CT5" s="277"/>
    </row>
    <row r="6" spans="1:98">
      <c r="A6" s="246">
        <v>0</v>
      </c>
      <c r="B6" s="246" t="s">
        <v>1232</v>
      </c>
      <c r="C6" s="246" t="s">
        <v>1286</v>
      </c>
      <c r="D6" s="246" t="s">
        <v>245</v>
      </c>
      <c r="E6" s="415">
        <v>45957</v>
      </c>
      <c r="F6" s="415">
        <v>45968</v>
      </c>
      <c r="G6" s="268">
        <v>10</v>
      </c>
      <c r="H6" s="269">
        <v>1</v>
      </c>
      <c r="I6" s="523"/>
      <c r="J6" s="480"/>
      <c r="K6" s="480"/>
      <c r="L6" s="480"/>
      <c r="M6" s="480"/>
      <c r="N6" s="480"/>
      <c r="O6" s="480"/>
      <c r="P6" s="480"/>
      <c r="Q6" s="480"/>
      <c r="R6" s="524"/>
      <c r="S6" s="513"/>
      <c r="T6" s="473"/>
      <c r="U6" s="473"/>
      <c r="V6" s="473"/>
      <c r="W6" s="473"/>
      <c r="X6" s="473"/>
      <c r="Y6" s="473"/>
      <c r="Z6" s="473"/>
      <c r="AA6" s="473"/>
      <c r="AB6" s="473"/>
      <c r="AC6" s="473"/>
      <c r="AD6" s="473"/>
      <c r="AE6" s="473"/>
      <c r="AF6" s="473"/>
      <c r="AG6" s="473"/>
      <c r="AH6" s="473"/>
      <c r="AI6" s="473"/>
      <c r="AJ6" s="473"/>
      <c r="AK6" s="473"/>
      <c r="AL6" s="473"/>
      <c r="AM6" s="327"/>
      <c r="AN6" s="277"/>
      <c r="AO6" s="277"/>
      <c r="AP6" s="277"/>
      <c r="AQ6" s="277"/>
      <c r="AR6" s="277"/>
      <c r="AS6" s="277"/>
      <c r="AT6" s="277"/>
      <c r="AU6" s="277"/>
      <c r="AV6" s="277"/>
      <c r="AW6" s="277"/>
      <c r="AX6" s="277"/>
      <c r="AY6" s="277"/>
      <c r="AZ6" s="277"/>
      <c r="BA6" s="277"/>
      <c r="BB6" s="277"/>
      <c r="BC6" s="277"/>
      <c r="BD6" s="277"/>
      <c r="BE6" s="277"/>
      <c r="BF6" s="277"/>
      <c r="BG6" s="277"/>
      <c r="BH6" s="277"/>
      <c r="BI6" s="277"/>
      <c r="BJ6" s="277"/>
      <c r="BK6" s="277"/>
      <c r="BL6" s="277"/>
      <c r="BM6" s="277"/>
      <c r="BN6" s="277"/>
      <c r="BO6" s="277"/>
      <c r="BP6" s="277"/>
      <c r="BQ6" s="277"/>
      <c r="BR6" s="277"/>
      <c r="BS6" s="277"/>
      <c r="BT6" s="277"/>
      <c r="BU6" s="277"/>
      <c r="BV6" s="277"/>
      <c r="BW6" s="277"/>
      <c r="BX6" s="277"/>
      <c r="BY6" s="277"/>
      <c r="BZ6" s="277"/>
      <c r="CA6" s="277"/>
      <c r="CB6" s="277"/>
      <c r="CC6" s="277"/>
      <c r="CD6" s="277"/>
      <c r="CE6" s="277"/>
      <c r="CF6" s="277"/>
      <c r="CG6" s="277"/>
      <c r="CH6" s="277"/>
      <c r="CI6" s="277"/>
      <c r="CJ6" s="277"/>
      <c r="CK6" s="277"/>
      <c r="CL6" s="277"/>
      <c r="CM6" s="277"/>
      <c r="CN6" s="277"/>
      <c r="CO6" s="277"/>
      <c r="CP6" s="277"/>
      <c r="CQ6" s="277"/>
      <c r="CR6" s="277"/>
      <c r="CS6" s="277"/>
      <c r="CT6" s="277"/>
    </row>
    <row r="7" spans="1:98">
      <c r="A7" s="246">
        <v>0</v>
      </c>
      <c r="B7" s="246" t="s">
        <v>1232</v>
      </c>
      <c r="C7" s="246" t="s">
        <v>1287</v>
      </c>
      <c r="D7" s="246" t="s">
        <v>1280</v>
      </c>
      <c r="E7" s="415">
        <v>46027</v>
      </c>
      <c r="F7" s="415">
        <v>46052</v>
      </c>
      <c r="G7" s="268">
        <v>20</v>
      </c>
      <c r="H7" s="269"/>
      <c r="I7" s="523"/>
      <c r="J7" s="480"/>
      <c r="K7" s="480"/>
      <c r="L7" s="480"/>
      <c r="M7" s="480"/>
      <c r="N7" s="480"/>
      <c r="O7" s="480"/>
      <c r="P7" s="480"/>
      <c r="Q7" s="480"/>
      <c r="R7" s="524"/>
      <c r="S7" s="513"/>
      <c r="T7" s="473"/>
      <c r="U7" s="473"/>
      <c r="V7" s="473"/>
      <c r="W7" s="473"/>
      <c r="X7" s="473"/>
      <c r="Y7" s="473"/>
      <c r="Z7" s="473"/>
      <c r="AA7" s="473"/>
      <c r="AB7" s="473"/>
      <c r="AC7" s="473"/>
      <c r="AD7" s="473"/>
      <c r="AE7" s="473"/>
      <c r="AF7" s="473"/>
      <c r="AG7" s="473"/>
      <c r="AH7" s="473"/>
      <c r="AI7" s="473"/>
      <c r="AJ7" s="473"/>
      <c r="AK7" s="473"/>
      <c r="AL7" s="473"/>
      <c r="AM7" s="327"/>
      <c r="AN7" s="277"/>
      <c r="AO7" s="277"/>
      <c r="AP7" s="277"/>
      <c r="AQ7" s="277"/>
      <c r="AR7" s="277"/>
      <c r="AS7" s="277"/>
      <c r="AT7" s="277"/>
      <c r="AU7" s="277"/>
      <c r="AV7" s="277"/>
      <c r="AW7" s="277"/>
      <c r="AX7" s="277"/>
      <c r="AY7" s="277"/>
      <c r="AZ7" s="277"/>
      <c r="BA7" s="277"/>
      <c r="BB7" s="277"/>
      <c r="BC7" s="277"/>
      <c r="BD7" s="277"/>
      <c r="BE7" s="277"/>
      <c r="BF7" s="277"/>
      <c r="BG7" s="277"/>
      <c r="BH7" s="277"/>
      <c r="BI7" s="277"/>
      <c r="BJ7" s="277"/>
      <c r="BK7" s="277"/>
      <c r="BL7" s="277"/>
      <c r="BM7" s="277"/>
      <c r="BN7" s="277"/>
      <c r="BO7" s="277"/>
      <c r="BP7" s="277"/>
      <c r="BQ7" s="277"/>
      <c r="BR7" s="277"/>
      <c r="BS7" s="277"/>
      <c r="BT7" s="277"/>
      <c r="BU7" s="277"/>
      <c r="BV7" s="277"/>
      <c r="BW7" s="277"/>
      <c r="BX7" s="277"/>
      <c r="BY7" s="277"/>
      <c r="BZ7" s="277"/>
      <c r="CA7" s="277"/>
      <c r="CB7" s="277"/>
      <c r="CC7" s="277"/>
      <c r="CD7" s="277"/>
      <c r="CE7" s="277"/>
      <c r="CF7" s="277"/>
      <c r="CG7" s="277"/>
      <c r="CH7" s="277"/>
      <c r="CI7" s="277"/>
      <c r="CJ7" s="277"/>
      <c r="CK7" s="277"/>
      <c r="CL7" s="277"/>
      <c r="CM7" s="277"/>
      <c r="CN7" s="277"/>
      <c r="CO7" s="277"/>
      <c r="CP7" s="277"/>
      <c r="CQ7" s="277"/>
      <c r="CR7" s="277"/>
      <c r="CS7" s="277"/>
      <c r="CT7" s="277"/>
    </row>
    <row r="8" spans="1:98">
      <c r="A8" s="246">
        <v>0</v>
      </c>
      <c r="B8" s="246" t="s">
        <v>1232</v>
      </c>
      <c r="C8" s="246" t="s">
        <v>1288</v>
      </c>
      <c r="D8" s="246" t="s">
        <v>376</v>
      </c>
      <c r="E8" s="416">
        <v>46010</v>
      </c>
      <c r="F8" s="415">
        <v>46017</v>
      </c>
      <c r="G8" s="268">
        <v>5</v>
      </c>
      <c r="H8" s="269"/>
      <c r="I8" s="502"/>
      <c r="J8" s="473"/>
      <c r="K8" s="473"/>
      <c r="L8" s="472"/>
      <c r="M8" s="472"/>
      <c r="N8" s="472"/>
      <c r="O8" s="472"/>
      <c r="P8" s="473"/>
      <c r="Q8" s="473"/>
      <c r="R8" s="501"/>
      <c r="S8" s="513"/>
      <c r="T8" s="473"/>
      <c r="U8" s="473"/>
      <c r="V8" s="473"/>
      <c r="W8" s="473"/>
      <c r="X8" s="473"/>
      <c r="Y8" s="473"/>
      <c r="Z8" s="473"/>
      <c r="AA8" s="473"/>
      <c r="AB8" s="473"/>
      <c r="AC8" s="473"/>
      <c r="AD8" s="473"/>
      <c r="AE8" s="473"/>
      <c r="AF8" s="473"/>
      <c r="AG8" s="473"/>
      <c r="AH8" s="473"/>
      <c r="AI8" s="473"/>
      <c r="AJ8" s="473"/>
      <c r="AK8" s="473"/>
      <c r="AL8" s="473"/>
      <c r="AM8" s="327"/>
      <c r="AN8" s="277"/>
      <c r="AO8" s="277"/>
      <c r="AP8" s="277"/>
      <c r="AQ8" s="277"/>
      <c r="AR8" s="277"/>
      <c r="AS8" s="277"/>
      <c r="AT8" s="277"/>
      <c r="AU8" s="277"/>
      <c r="AV8" s="277"/>
      <c r="AW8" s="277"/>
      <c r="AX8" s="277"/>
      <c r="AY8" s="277"/>
      <c r="AZ8" s="277"/>
      <c r="BA8" s="277"/>
      <c r="BB8" s="277"/>
      <c r="BC8" s="277"/>
      <c r="BD8" s="277"/>
      <c r="BE8" s="277"/>
      <c r="BF8" s="277"/>
      <c r="BG8" s="277"/>
      <c r="BH8" s="277"/>
      <c r="BI8" s="277"/>
      <c r="BJ8" s="277"/>
      <c r="BK8" s="277"/>
      <c r="BL8" s="277"/>
      <c r="BM8" s="277"/>
      <c r="BN8" s="277"/>
      <c r="BO8" s="277"/>
      <c r="BP8" s="277"/>
      <c r="BQ8" s="277"/>
      <c r="BR8" s="277"/>
      <c r="BS8" s="277"/>
      <c r="BT8" s="277"/>
      <c r="BU8" s="277"/>
      <c r="BV8" s="277"/>
      <c r="BW8" s="277"/>
      <c r="BX8" s="277"/>
      <c r="BY8" s="277"/>
      <c r="BZ8" s="277"/>
      <c r="CA8" s="277"/>
      <c r="CB8" s="277"/>
      <c r="CC8" s="277"/>
      <c r="CD8" s="277"/>
      <c r="CE8" s="277"/>
      <c r="CF8" s="277"/>
      <c r="CG8" s="277"/>
      <c r="CH8" s="277"/>
      <c r="CI8" s="277"/>
      <c r="CJ8" s="277"/>
      <c r="CK8" s="277"/>
      <c r="CL8" s="277"/>
      <c r="CM8" s="277"/>
      <c r="CN8" s="277"/>
      <c r="CO8" s="277"/>
      <c r="CP8" s="277"/>
      <c r="CQ8" s="277"/>
      <c r="CR8" s="277"/>
      <c r="CS8" s="277"/>
      <c r="CT8" s="277"/>
    </row>
    <row r="9" spans="1:98">
      <c r="A9" s="246">
        <v>0</v>
      </c>
      <c r="B9" s="246" t="s">
        <v>1232</v>
      </c>
      <c r="C9" t="s">
        <v>1289</v>
      </c>
      <c r="D9" s="246" t="s">
        <v>376</v>
      </c>
      <c r="E9" s="415">
        <v>46035</v>
      </c>
      <c r="F9" s="415">
        <v>45673</v>
      </c>
      <c r="G9" s="268">
        <v>1</v>
      </c>
      <c r="H9" s="269"/>
      <c r="I9" s="502"/>
      <c r="J9" s="480"/>
      <c r="K9" s="473"/>
      <c r="L9" s="473"/>
      <c r="M9" s="473"/>
      <c r="N9" s="473"/>
      <c r="O9" s="473"/>
      <c r="P9" s="473"/>
      <c r="Q9" s="473"/>
      <c r="R9" s="501"/>
      <c r="S9" s="513"/>
      <c r="T9" s="473"/>
      <c r="U9" s="473"/>
      <c r="V9" s="473"/>
      <c r="W9" s="473"/>
      <c r="X9" s="473"/>
      <c r="Y9" s="473"/>
      <c r="Z9" s="473"/>
      <c r="AA9" s="473"/>
      <c r="AB9" s="473"/>
      <c r="AC9" s="473"/>
      <c r="AD9" s="473"/>
      <c r="AE9" s="473"/>
      <c r="AF9" s="473"/>
      <c r="AG9" s="473"/>
      <c r="AH9" s="473"/>
      <c r="AI9" s="473"/>
      <c r="AJ9" s="473"/>
      <c r="AK9" s="473"/>
      <c r="AL9" s="473"/>
      <c r="AM9" s="327"/>
      <c r="AN9" s="277"/>
      <c r="AO9" s="277"/>
      <c r="AP9" s="277"/>
      <c r="AQ9" s="277"/>
      <c r="AR9" s="277"/>
      <c r="AS9" s="277"/>
      <c r="AT9" s="277"/>
      <c r="AU9" s="277"/>
      <c r="AV9" s="277"/>
      <c r="AW9" s="277"/>
      <c r="AX9" s="277"/>
      <c r="AY9" s="277"/>
      <c r="AZ9" s="277"/>
      <c r="BA9" s="277"/>
      <c r="BB9" s="277"/>
      <c r="BC9" s="277"/>
      <c r="BD9" s="277"/>
      <c r="BE9" s="277"/>
      <c r="BF9" s="277"/>
      <c r="BG9" s="277"/>
      <c r="BH9" s="277"/>
      <c r="BI9" s="277"/>
      <c r="BJ9" s="277"/>
      <c r="BK9" s="277"/>
      <c r="BL9" s="277"/>
      <c r="BM9" s="277"/>
      <c r="BN9" s="277"/>
      <c r="BO9" s="277"/>
      <c r="BP9" s="277"/>
      <c r="BQ9" s="277"/>
      <c r="BR9" s="277"/>
      <c r="BS9" s="277"/>
      <c r="BT9" s="277"/>
      <c r="BU9" s="277"/>
      <c r="BV9" s="277"/>
      <c r="BW9" s="277"/>
      <c r="BX9" s="277"/>
      <c r="BY9" s="277"/>
      <c r="BZ9" s="277"/>
      <c r="CA9" s="277"/>
      <c r="CB9" s="277"/>
      <c r="CC9" s="277"/>
      <c r="CD9" s="277"/>
      <c r="CE9" s="277"/>
      <c r="CF9" s="277"/>
      <c r="CG9" s="277"/>
      <c r="CH9" s="277"/>
      <c r="CI9" s="277"/>
      <c r="CJ9" s="277"/>
      <c r="CK9" s="277"/>
      <c r="CL9" s="277"/>
      <c r="CM9" s="277"/>
      <c r="CN9" s="277"/>
      <c r="CO9" s="277"/>
      <c r="CP9" s="277"/>
      <c r="CQ9" s="277"/>
      <c r="CR9" s="277"/>
      <c r="CS9" s="277"/>
      <c r="CT9" s="277"/>
    </row>
    <row r="10" spans="1:98">
      <c r="A10" s="246">
        <v>0</v>
      </c>
      <c r="B10" s="246" t="s">
        <v>1232</v>
      </c>
      <c r="C10" s="461" t="s">
        <v>1290</v>
      </c>
      <c r="D10" s="246" t="s">
        <v>376</v>
      </c>
      <c r="E10" s="415">
        <v>46038</v>
      </c>
      <c r="F10" s="246"/>
      <c r="G10" s="268"/>
      <c r="H10" s="269"/>
      <c r="I10" s="502"/>
      <c r="J10" s="473"/>
      <c r="K10" s="473"/>
      <c r="L10" s="473"/>
      <c r="M10" s="525"/>
      <c r="N10" s="525"/>
      <c r="O10" s="525"/>
      <c r="P10" s="525"/>
      <c r="Q10" s="525"/>
      <c r="R10" s="501"/>
      <c r="S10" s="513"/>
      <c r="T10" s="473"/>
      <c r="U10" s="473"/>
      <c r="V10" s="473"/>
      <c r="W10" s="473"/>
      <c r="X10" s="473"/>
      <c r="Y10" s="473"/>
      <c r="Z10" s="473"/>
      <c r="AA10" s="473"/>
      <c r="AB10" s="473"/>
      <c r="AC10" s="473"/>
      <c r="AD10" s="473"/>
      <c r="AE10" s="473"/>
      <c r="AF10" s="473"/>
      <c r="AG10" s="473"/>
      <c r="AH10" s="473"/>
      <c r="AI10" s="473"/>
      <c r="AJ10" s="473"/>
      <c r="AK10" s="473"/>
      <c r="AL10" s="473"/>
      <c r="AM10" s="327"/>
      <c r="AN10" s="277"/>
      <c r="AO10" s="277"/>
      <c r="AP10" s="277"/>
      <c r="AQ10" s="277"/>
      <c r="AR10" s="277"/>
      <c r="AS10" s="277"/>
      <c r="AT10" s="277"/>
      <c r="AU10" s="277"/>
      <c r="AV10" s="277"/>
      <c r="AW10" s="277"/>
      <c r="AX10" s="277"/>
      <c r="AY10" s="277"/>
      <c r="AZ10" s="277"/>
      <c r="BA10" s="277"/>
      <c r="BB10" s="277"/>
      <c r="BC10" s="277"/>
      <c r="BD10" s="277"/>
      <c r="BE10" s="277"/>
      <c r="BF10" s="277"/>
      <c r="BG10" s="277"/>
      <c r="BH10" s="277"/>
      <c r="BI10" s="277"/>
      <c r="BJ10" s="277"/>
      <c r="BK10" s="277"/>
      <c r="BL10" s="277"/>
      <c r="BM10" s="277"/>
      <c r="BN10" s="277"/>
      <c r="BO10" s="277"/>
      <c r="BP10" s="277"/>
      <c r="BQ10" s="277"/>
      <c r="BR10" s="277"/>
      <c r="BS10" s="277"/>
      <c r="BT10" s="277"/>
      <c r="BU10" s="277"/>
      <c r="BV10" s="277"/>
      <c r="BW10" s="277"/>
      <c r="BX10" s="277"/>
      <c r="BY10" s="277"/>
      <c r="BZ10" s="277"/>
      <c r="CA10" s="277"/>
      <c r="CB10" s="277"/>
      <c r="CC10" s="277"/>
      <c r="CD10" s="277"/>
      <c r="CE10" s="277"/>
      <c r="CF10" s="277"/>
      <c r="CG10" s="277"/>
      <c r="CH10" s="277"/>
      <c r="CI10" s="277"/>
      <c r="CJ10" s="277"/>
      <c r="CK10" s="277"/>
      <c r="CL10" s="277"/>
      <c r="CM10" s="277"/>
      <c r="CN10" s="277"/>
      <c r="CO10" s="277"/>
      <c r="CP10" s="277"/>
      <c r="CQ10" s="277"/>
      <c r="CR10" s="277"/>
      <c r="CS10" s="277"/>
      <c r="CT10" s="277"/>
    </row>
    <row r="11" spans="1:98">
      <c r="A11" s="246">
        <v>0</v>
      </c>
      <c r="B11" s="246" t="s">
        <v>1232</v>
      </c>
      <c r="C11" s="246" t="s">
        <v>1291</v>
      </c>
      <c r="D11" s="246" t="s">
        <v>1280</v>
      </c>
      <c r="E11" s="246"/>
      <c r="F11" s="246"/>
      <c r="G11" s="268"/>
      <c r="H11" s="269"/>
      <c r="I11" s="504"/>
      <c r="J11" s="505"/>
      <c r="K11" s="505"/>
      <c r="L11" s="505"/>
      <c r="M11" s="505"/>
      <c r="N11" s="505"/>
      <c r="O11" s="505"/>
      <c r="P11" s="505"/>
      <c r="Q11" s="505"/>
      <c r="R11" s="519"/>
      <c r="S11" s="514"/>
      <c r="T11" s="508"/>
      <c r="U11" s="508"/>
      <c r="V11" s="508"/>
      <c r="W11" s="508"/>
      <c r="X11" s="508"/>
      <c r="Y11" s="508"/>
      <c r="Z11" s="508"/>
      <c r="AA11" s="508"/>
      <c r="AB11" s="508"/>
      <c r="AC11" s="473"/>
      <c r="AD11" s="473"/>
      <c r="AE11" s="473"/>
      <c r="AF11" s="473"/>
      <c r="AG11" s="473"/>
      <c r="AH11" s="473"/>
      <c r="AI11" s="473"/>
      <c r="AJ11" s="473"/>
      <c r="AK11" s="473"/>
      <c r="AL11" s="473"/>
      <c r="AM11" s="327"/>
      <c r="AN11" s="277"/>
      <c r="AO11" s="277"/>
      <c r="AP11" s="277"/>
      <c r="AQ11" s="277"/>
      <c r="AR11" s="277"/>
      <c r="AS11" s="277"/>
      <c r="AT11" s="277"/>
      <c r="AU11" s="277"/>
      <c r="AV11" s="277"/>
      <c r="AW11" s="277"/>
      <c r="AX11" s="277"/>
      <c r="AY11" s="277"/>
      <c r="AZ11" s="277"/>
      <c r="BA11" s="277"/>
      <c r="BB11" s="277"/>
      <c r="BC11" s="277"/>
      <c r="BD11" s="277"/>
      <c r="BE11" s="277"/>
      <c r="BF11" s="277"/>
      <c r="BG11" s="277"/>
      <c r="BH11" s="277"/>
      <c r="BI11" s="277"/>
      <c r="BJ11" s="277"/>
      <c r="BK11" s="277"/>
      <c r="BL11" s="277"/>
      <c r="BM11" s="277"/>
      <c r="BN11" s="277"/>
      <c r="BO11" s="277"/>
      <c r="BP11" s="277"/>
      <c r="BQ11" s="277"/>
      <c r="BR11" s="277"/>
      <c r="BS11" s="277"/>
      <c r="BT11" s="277"/>
      <c r="BU11" s="277"/>
      <c r="BV11" s="277"/>
      <c r="BW11" s="277"/>
      <c r="BX11" s="277"/>
      <c r="BY11" s="277"/>
      <c r="BZ11" s="277"/>
      <c r="CA11" s="277"/>
      <c r="CB11" s="277"/>
      <c r="CC11" s="277"/>
      <c r="CD11" s="277"/>
      <c r="CE11" s="277"/>
      <c r="CF11" s="277"/>
      <c r="CG11" s="277"/>
      <c r="CH11" s="277"/>
      <c r="CI11" s="277"/>
      <c r="CJ11" s="277"/>
      <c r="CK11" s="277"/>
      <c r="CL11" s="277"/>
      <c r="CM11" s="277"/>
      <c r="CN11" s="277"/>
      <c r="CO11" s="277"/>
      <c r="CP11" s="277"/>
      <c r="CQ11" s="277"/>
      <c r="CR11" s="277"/>
      <c r="CS11" s="277"/>
      <c r="CT11" s="277"/>
    </row>
    <row r="12" spans="1:98">
      <c r="A12" s="297">
        <v>1</v>
      </c>
      <c r="B12" s="297" t="s">
        <v>1278</v>
      </c>
      <c r="C12" s="297" t="s">
        <v>1292</v>
      </c>
      <c r="D12" s="298" t="s">
        <v>1293</v>
      </c>
      <c r="E12" s="297" t="s">
        <v>1281</v>
      </c>
      <c r="F12" s="297" t="s">
        <v>1281</v>
      </c>
      <c r="G12" s="297"/>
      <c r="H12" s="299"/>
      <c r="I12" s="521"/>
      <c r="J12" s="521"/>
      <c r="K12" s="521"/>
      <c r="L12" s="521"/>
      <c r="M12" s="521"/>
      <c r="N12" s="521"/>
      <c r="O12" s="521"/>
      <c r="P12" s="521"/>
      <c r="Q12" s="521"/>
      <c r="R12" s="522"/>
      <c r="S12" s="574" t="s">
        <v>1294</v>
      </c>
      <c r="T12" s="575"/>
      <c r="U12" s="575"/>
      <c r="V12" s="575"/>
      <c r="W12" s="575"/>
      <c r="X12" s="575"/>
      <c r="Y12" s="575"/>
      <c r="Z12" s="575"/>
      <c r="AA12" s="575"/>
      <c r="AB12" s="576"/>
      <c r="AC12" s="512"/>
      <c r="AD12" s="474"/>
      <c r="AE12" s="474"/>
      <c r="AF12" s="474"/>
      <c r="AG12" s="474"/>
      <c r="AH12" s="474"/>
      <c r="AI12" s="474"/>
      <c r="AJ12" s="474"/>
      <c r="AK12" s="474"/>
      <c r="AL12" s="474"/>
      <c r="AM12" s="485"/>
      <c r="AN12" s="307"/>
      <c r="AO12" s="307"/>
      <c r="AP12" s="307"/>
      <c r="AQ12" s="307"/>
      <c r="AR12" s="307"/>
      <c r="AS12" s="307"/>
      <c r="AT12" s="307"/>
      <c r="AU12" s="307"/>
      <c r="AV12" s="307"/>
      <c r="AW12" s="307"/>
      <c r="AX12" s="307"/>
      <c r="AY12" s="307"/>
      <c r="AZ12" s="307"/>
      <c r="BA12" s="307"/>
      <c r="BB12" s="307"/>
      <c r="BC12" s="307"/>
      <c r="BD12" s="307"/>
      <c r="BE12" s="307"/>
      <c r="BF12" s="307"/>
      <c r="BG12" s="307"/>
      <c r="BH12" s="307"/>
      <c r="BI12" s="307"/>
      <c r="BJ12" s="307"/>
      <c r="BK12" s="307"/>
      <c r="BL12" s="307"/>
      <c r="BM12" s="307"/>
      <c r="BN12" s="307"/>
      <c r="BO12" s="307"/>
      <c r="BP12" s="307"/>
      <c r="BQ12" s="307"/>
      <c r="BR12" s="307"/>
      <c r="BS12" s="307"/>
      <c r="BT12" s="307"/>
      <c r="BU12" s="307"/>
      <c r="BV12" s="307"/>
      <c r="BW12" s="307"/>
      <c r="BX12" s="307"/>
      <c r="BY12" s="307"/>
      <c r="BZ12" s="307"/>
      <c r="CA12" s="307"/>
      <c r="CB12" s="307"/>
      <c r="CC12" s="307"/>
      <c r="CD12" s="307"/>
      <c r="CE12" s="307"/>
      <c r="CF12" s="307"/>
      <c r="CG12" s="307"/>
      <c r="CH12" s="307"/>
      <c r="CI12" s="307"/>
      <c r="CJ12" s="307"/>
      <c r="CK12" s="307"/>
      <c r="CL12" s="307"/>
      <c r="CM12" s="307"/>
      <c r="CN12" s="307"/>
      <c r="CO12" s="307"/>
      <c r="CP12" s="307"/>
      <c r="CQ12" s="307"/>
      <c r="CR12" s="307"/>
      <c r="CS12" s="307"/>
      <c r="CT12" s="307"/>
    </row>
    <row r="13" spans="1:98">
      <c r="A13" s="246">
        <v>1</v>
      </c>
      <c r="B13" s="246" t="s">
        <v>1232</v>
      </c>
      <c r="C13" s="246" t="s">
        <v>1295</v>
      </c>
      <c r="D13" t="s">
        <v>376</v>
      </c>
      <c r="E13" s="416">
        <v>46041</v>
      </c>
      <c r="F13" s="415">
        <v>46042</v>
      </c>
      <c r="G13" s="268">
        <v>2</v>
      </c>
      <c r="H13" s="269"/>
      <c r="I13" s="473"/>
      <c r="J13" s="473"/>
      <c r="K13" s="473"/>
      <c r="L13" s="473"/>
      <c r="M13" s="473"/>
      <c r="N13" s="473"/>
      <c r="O13" s="473"/>
      <c r="P13" s="473"/>
      <c r="Q13" s="473"/>
      <c r="R13" s="507"/>
      <c r="S13" s="510"/>
      <c r="T13" s="475"/>
      <c r="U13" s="473"/>
      <c r="V13" s="473"/>
      <c r="W13" s="473"/>
      <c r="X13" s="473"/>
      <c r="Y13" s="473"/>
      <c r="Z13" s="473"/>
      <c r="AA13" s="473"/>
      <c r="AB13" s="501"/>
      <c r="AC13" s="513"/>
      <c r="AD13" s="473"/>
      <c r="AE13" s="473"/>
      <c r="AF13" s="473"/>
      <c r="AG13" s="473"/>
      <c r="AH13" s="473"/>
      <c r="AI13" s="473"/>
      <c r="AJ13" s="473"/>
      <c r="AK13" s="473"/>
      <c r="AL13" s="473"/>
      <c r="AM13" s="327"/>
      <c r="AN13" s="277"/>
      <c r="AO13" s="277"/>
      <c r="AP13" s="277"/>
      <c r="AQ13" s="277"/>
      <c r="AR13" s="277"/>
      <c r="AS13" s="277"/>
      <c r="AT13" s="277"/>
      <c r="AU13" s="277"/>
      <c r="AV13" s="277"/>
      <c r="AW13" s="277"/>
      <c r="AX13" s="277"/>
      <c r="AY13" s="277"/>
      <c r="AZ13" s="277"/>
      <c r="BA13" s="277"/>
      <c r="BB13" s="277"/>
      <c r="BC13" s="277"/>
      <c r="BD13" s="277"/>
      <c r="BE13" s="277"/>
      <c r="BF13" s="277"/>
      <c r="BG13" s="277"/>
      <c r="BH13" s="277"/>
      <c r="BI13" s="277"/>
      <c r="BJ13" s="277"/>
      <c r="BK13" s="277"/>
      <c r="BL13" s="277"/>
      <c r="BM13" s="277"/>
      <c r="BN13" s="277"/>
      <c r="BO13" s="277"/>
      <c r="BP13" s="277"/>
      <c r="BQ13" s="277"/>
      <c r="BR13" s="277"/>
      <c r="BS13" s="277"/>
      <c r="BT13" s="277"/>
      <c r="BU13" s="277"/>
      <c r="BV13" s="277"/>
      <c r="BW13" s="277"/>
      <c r="BX13" s="277"/>
      <c r="BY13" s="277"/>
      <c r="BZ13" s="277"/>
      <c r="CA13" s="277"/>
      <c r="CB13" s="277"/>
      <c r="CC13" s="277"/>
      <c r="CD13" s="277"/>
      <c r="CE13" s="277"/>
      <c r="CF13" s="277"/>
      <c r="CG13" s="277"/>
      <c r="CH13" s="277"/>
      <c r="CI13" s="277"/>
      <c r="CJ13" s="277"/>
      <c r="CK13" s="277"/>
      <c r="CL13" s="277"/>
      <c r="CM13" s="277"/>
      <c r="CN13" s="277"/>
      <c r="CO13" s="277"/>
      <c r="CP13" s="277"/>
      <c r="CQ13" s="277"/>
      <c r="CR13" s="277"/>
      <c r="CS13" s="277"/>
      <c r="CT13" s="277"/>
    </row>
    <row r="14" spans="1:98">
      <c r="A14" s="246">
        <v>1</v>
      </c>
      <c r="B14" s="246" t="s">
        <v>1232</v>
      </c>
      <c r="C14" s="246" t="s">
        <v>1296</v>
      </c>
      <c r="D14" t="s">
        <v>376</v>
      </c>
      <c r="E14" s="416">
        <v>46043</v>
      </c>
      <c r="F14" s="415">
        <v>46044</v>
      </c>
      <c r="G14" s="268">
        <v>2</v>
      </c>
      <c r="H14" s="269"/>
      <c r="I14" s="473"/>
      <c r="J14" s="473"/>
      <c r="K14" s="473"/>
      <c r="L14" s="473"/>
      <c r="M14" s="473"/>
      <c r="N14" s="473"/>
      <c r="O14" s="473"/>
      <c r="P14" s="473"/>
      <c r="Q14" s="473"/>
      <c r="R14" s="507"/>
      <c r="S14" s="502"/>
      <c r="T14" s="473"/>
      <c r="U14" s="475"/>
      <c r="V14" s="475"/>
      <c r="X14" s="473"/>
      <c r="Y14" s="473"/>
      <c r="Z14" s="473"/>
      <c r="AA14" s="473"/>
      <c r="AB14" s="501"/>
      <c r="AC14" s="513"/>
      <c r="AD14" s="473"/>
      <c r="AE14" s="473"/>
      <c r="AF14" s="473"/>
      <c r="AG14" s="473"/>
      <c r="AH14" s="473"/>
      <c r="AI14" s="473"/>
      <c r="AJ14" s="473"/>
      <c r="AK14" s="473"/>
      <c r="AL14" s="473"/>
      <c r="AM14" s="327"/>
      <c r="AN14" s="277"/>
      <c r="AO14" s="277"/>
      <c r="AP14" s="277"/>
      <c r="AQ14" s="277"/>
      <c r="AR14" s="277"/>
      <c r="AS14" s="277"/>
      <c r="AT14" s="277"/>
      <c r="AU14" s="277"/>
      <c r="AV14" s="277"/>
      <c r="AW14" s="277"/>
      <c r="AX14" s="277"/>
      <c r="AY14" s="277"/>
      <c r="AZ14" s="277"/>
      <c r="BA14" s="277"/>
      <c r="BB14" s="277"/>
      <c r="BC14" s="277"/>
      <c r="BD14" s="277"/>
      <c r="BE14" s="277"/>
      <c r="BF14" s="277"/>
      <c r="BG14" s="277"/>
      <c r="BH14" s="277"/>
      <c r="BI14" s="277"/>
      <c r="BJ14" s="277"/>
      <c r="BK14" s="277"/>
      <c r="BL14" s="277"/>
      <c r="BM14" s="277"/>
      <c r="BN14" s="277"/>
      <c r="BO14" s="277"/>
      <c r="BP14" s="277"/>
      <c r="BQ14" s="277"/>
      <c r="BR14" s="277"/>
      <c r="BS14" s="277"/>
      <c r="BT14" s="277"/>
      <c r="BU14" s="277"/>
      <c r="BV14" s="277"/>
      <c r="BW14" s="277"/>
      <c r="BX14" s="277"/>
      <c r="BY14" s="277"/>
      <c r="BZ14" s="277"/>
      <c r="CA14" s="277"/>
      <c r="CB14" s="277"/>
      <c r="CC14" s="277"/>
      <c r="CD14" s="277"/>
      <c r="CE14" s="277"/>
      <c r="CF14" s="277"/>
      <c r="CG14" s="277"/>
      <c r="CH14" s="277"/>
      <c r="CI14" s="277"/>
      <c r="CJ14" s="277"/>
      <c r="CK14" s="277"/>
      <c r="CL14" s="277"/>
      <c r="CM14" s="277"/>
      <c r="CN14" s="277"/>
      <c r="CO14" s="277"/>
      <c r="CP14" s="277"/>
      <c r="CQ14" s="277"/>
      <c r="CR14" s="277"/>
      <c r="CS14" s="277"/>
      <c r="CT14" s="277"/>
    </row>
    <row r="15" spans="1:98">
      <c r="A15" s="246">
        <v>1</v>
      </c>
      <c r="B15" s="246" t="s">
        <v>1232</v>
      </c>
      <c r="C15" s="246" t="s">
        <v>1297</v>
      </c>
      <c r="D15" t="s">
        <v>376</v>
      </c>
      <c r="E15" s="416">
        <v>46044</v>
      </c>
      <c r="F15" s="415">
        <v>45680</v>
      </c>
      <c r="G15" s="268">
        <v>2</v>
      </c>
      <c r="H15" s="269"/>
      <c r="I15" s="473"/>
      <c r="J15" s="473"/>
      <c r="K15" s="473"/>
      <c r="L15" s="473"/>
      <c r="M15" s="473"/>
      <c r="N15" s="473"/>
      <c r="O15" s="473"/>
      <c r="P15" s="473"/>
      <c r="Q15" s="473"/>
      <c r="R15" s="507"/>
      <c r="S15" s="502"/>
      <c r="T15" s="473"/>
      <c r="U15" s="473"/>
      <c r="V15" s="475"/>
      <c r="W15" s="475"/>
      <c r="X15" s="473"/>
      <c r="Y15" s="473"/>
      <c r="Z15" s="473"/>
      <c r="AA15" s="473"/>
      <c r="AB15" s="501"/>
      <c r="AC15" s="513"/>
      <c r="AD15" s="473"/>
      <c r="AE15" s="473"/>
      <c r="AF15" s="473"/>
      <c r="AG15" s="473"/>
      <c r="AH15" s="473"/>
      <c r="AI15" s="473"/>
      <c r="AJ15" s="473"/>
      <c r="AK15" s="473"/>
      <c r="AL15" s="473"/>
      <c r="AM15" s="327"/>
      <c r="AN15" s="277"/>
      <c r="AO15" s="277"/>
      <c r="AP15" s="277"/>
      <c r="AQ15" s="277"/>
      <c r="AR15" s="277"/>
      <c r="AS15" s="277"/>
      <c r="AT15" s="277"/>
      <c r="AU15" s="277"/>
      <c r="AV15" s="277"/>
      <c r="AW15" s="277"/>
      <c r="AX15" s="277"/>
      <c r="AY15" s="277"/>
      <c r="AZ15" s="277"/>
      <c r="BA15" s="277"/>
      <c r="BB15" s="277"/>
      <c r="BC15" s="277"/>
      <c r="BD15" s="277"/>
      <c r="BE15" s="277"/>
      <c r="BF15" s="277"/>
      <c r="BG15" s="277"/>
      <c r="BH15" s="277"/>
      <c r="BI15" s="277"/>
      <c r="BJ15" s="277"/>
      <c r="BK15" s="277"/>
      <c r="BL15" s="277"/>
      <c r="BM15" s="277"/>
      <c r="BN15" s="277"/>
      <c r="BO15" s="277"/>
      <c r="BP15" s="277"/>
      <c r="BQ15" s="277"/>
      <c r="BR15" s="277"/>
      <c r="BS15" s="277"/>
      <c r="BT15" s="277"/>
      <c r="BU15" s="277"/>
      <c r="BV15" s="277"/>
      <c r="BW15" s="277"/>
      <c r="BX15" s="277"/>
      <c r="BY15" s="277"/>
      <c r="BZ15" s="277"/>
      <c r="CA15" s="277"/>
      <c r="CB15" s="277"/>
      <c r="CC15" s="277"/>
      <c r="CD15" s="277"/>
      <c r="CE15" s="277"/>
      <c r="CF15" s="277"/>
      <c r="CG15" s="277"/>
      <c r="CH15" s="277"/>
      <c r="CI15" s="277"/>
      <c r="CJ15" s="277"/>
      <c r="CK15" s="277"/>
      <c r="CL15" s="277"/>
      <c r="CM15" s="277"/>
      <c r="CN15" s="277"/>
      <c r="CO15" s="277"/>
      <c r="CP15" s="277"/>
      <c r="CQ15" s="277"/>
      <c r="CR15" s="277"/>
      <c r="CS15" s="277"/>
      <c r="CT15" s="277"/>
    </row>
    <row r="16" spans="1:98">
      <c r="A16">
        <v>1</v>
      </c>
      <c r="B16" t="s">
        <v>1232</v>
      </c>
      <c r="C16" s="246" t="s">
        <v>1298</v>
      </c>
      <c r="D16" t="s">
        <v>376</v>
      </c>
      <c r="E16" s="416">
        <v>46045</v>
      </c>
      <c r="F16" s="416">
        <v>46051</v>
      </c>
      <c r="G16" s="268">
        <v>5</v>
      </c>
      <c r="H16" s="269"/>
      <c r="I16" s="473"/>
      <c r="J16" s="473"/>
      <c r="K16" s="473"/>
      <c r="L16" s="473"/>
      <c r="M16" s="473"/>
      <c r="N16" s="473"/>
      <c r="O16" s="473"/>
      <c r="P16" s="473"/>
      <c r="Q16" s="473"/>
      <c r="R16" s="507"/>
      <c r="S16" s="502"/>
      <c r="T16" s="473"/>
      <c r="U16" s="473"/>
      <c r="V16" s="473"/>
      <c r="W16" s="475"/>
      <c r="X16" s="475"/>
      <c r="Y16" s="475"/>
      <c r="Z16" s="475"/>
      <c r="AA16" s="475"/>
      <c r="AB16" s="501"/>
      <c r="AC16" s="513"/>
      <c r="AD16" s="473"/>
      <c r="AE16" s="473"/>
      <c r="AF16" s="473"/>
      <c r="AG16" s="473"/>
      <c r="AH16" s="473"/>
      <c r="AI16" s="473"/>
      <c r="AJ16" s="473"/>
      <c r="AK16" s="473"/>
      <c r="AL16" s="473"/>
      <c r="AM16" s="327"/>
      <c r="AN16" s="277"/>
      <c r="AO16" s="277"/>
      <c r="AP16" s="277"/>
      <c r="AQ16" s="277"/>
      <c r="AR16" s="277"/>
      <c r="AS16" s="277"/>
      <c r="AT16" s="277"/>
      <c r="AU16" s="277"/>
      <c r="AV16" s="277"/>
      <c r="AW16" s="277"/>
      <c r="AX16" s="277"/>
      <c r="AY16" s="277"/>
      <c r="AZ16" s="277"/>
      <c r="BA16" s="277"/>
      <c r="BB16" s="277"/>
      <c r="BC16" s="277"/>
      <c r="BD16" s="277"/>
      <c r="BE16" s="277"/>
      <c r="BF16" s="277"/>
      <c r="BG16" s="277"/>
      <c r="BH16" s="277"/>
      <c r="BI16" s="277"/>
      <c r="BJ16" s="277"/>
      <c r="BK16" s="277"/>
      <c r="BL16" s="277"/>
      <c r="BM16" s="277"/>
      <c r="BN16" s="277"/>
      <c r="BO16" s="277"/>
      <c r="BP16" s="277"/>
      <c r="BQ16" s="277"/>
      <c r="BR16" s="277"/>
      <c r="BS16" s="277"/>
      <c r="BT16" s="277"/>
      <c r="BU16" s="277"/>
      <c r="BV16" s="277"/>
      <c r="BW16" s="277"/>
      <c r="BX16" s="277"/>
      <c r="BY16" s="277"/>
      <c r="BZ16" s="277"/>
      <c r="CA16" s="277"/>
      <c r="CB16" s="277"/>
      <c r="CC16" s="277"/>
      <c r="CD16" s="277"/>
      <c r="CE16" s="277"/>
      <c r="CF16" s="277"/>
      <c r="CG16" s="277"/>
      <c r="CH16" s="277"/>
      <c r="CI16" s="277"/>
      <c r="CJ16" s="277"/>
      <c r="CK16" s="277"/>
      <c r="CL16" s="277"/>
      <c r="CM16" s="277"/>
      <c r="CN16" s="277"/>
      <c r="CO16" s="277"/>
      <c r="CP16" s="277"/>
      <c r="CQ16" s="277"/>
      <c r="CR16" s="277"/>
      <c r="CS16" s="277"/>
      <c r="CT16" s="277"/>
    </row>
    <row r="17" spans="1:98">
      <c r="A17" s="246">
        <v>1</v>
      </c>
      <c r="B17" s="246" t="s">
        <v>1232</v>
      </c>
      <c r="C17" s="246" t="s">
        <v>1299</v>
      </c>
      <c r="D17" s="246" t="s">
        <v>1280</v>
      </c>
      <c r="E17" s="415">
        <v>46041</v>
      </c>
      <c r="F17" s="415">
        <v>46051</v>
      </c>
      <c r="G17" s="268">
        <v>8</v>
      </c>
      <c r="H17" s="269"/>
      <c r="I17" s="473"/>
      <c r="J17" s="473"/>
      <c r="K17" s="473"/>
      <c r="L17" s="473"/>
      <c r="M17" s="473"/>
      <c r="N17" s="473"/>
      <c r="O17" s="473"/>
      <c r="P17" s="473"/>
      <c r="Q17" s="473"/>
      <c r="R17" s="507"/>
      <c r="S17" s="510"/>
      <c r="T17" s="475"/>
      <c r="U17" s="475"/>
      <c r="V17" s="475"/>
      <c r="W17" s="475"/>
      <c r="X17" s="475"/>
      <c r="Y17" s="475"/>
      <c r="Z17" s="475"/>
      <c r="AA17" s="475"/>
      <c r="AB17" s="501"/>
      <c r="AC17" s="513"/>
      <c r="AD17" s="473"/>
      <c r="AE17" s="473"/>
      <c r="AF17" s="473"/>
      <c r="AG17" s="473"/>
      <c r="AH17" s="473"/>
      <c r="AI17" s="473"/>
      <c r="AJ17" s="473"/>
      <c r="AK17" s="473"/>
      <c r="AL17" s="473"/>
      <c r="AM17" s="327"/>
      <c r="AN17" s="277"/>
      <c r="AO17" s="277"/>
      <c r="AP17" s="277"/>
      <c r="AQ17" s="277"/>
      <c r="AR17" s="277"/>
      <c r="AS17" s="277"/>
      <c r="AT17" s="277"/>
      <c r="AU17" s="277"/>
      <c r="AV17" s="277"/>
      <c r="AW17" s="277"/>
      <c r="AX17" s="277"/>
      <c r="AY17" s="277"/>
      <c r="AZ17" s="277"/>
      <c r="BA17" s="277"/>
      <c r="BB17" s="277"/>
      <c r="BC17" s="277"/>
      <c r="BD17" s="277"/>
      <c r="BE17" s="277"/>
      <c r="BF17" s="277"/>
      <c r="BG17" s="277"/>
      <c r="BH17" s="277"/>
      <c r="BI17" s="277"/>
      <c r="BJ17" s="277"/>
      <c r="BK17" s="277"/>
      <c r="BL17" s="277"/>
      <c r="BM17" s="277"/>
      <c r="BN17" s="277"/>
      <c r="BO17" s="277"/>
      <c r="BP17" s="277"/>
      <c r="BQ17" s="277"/>
      <c r="BR17" s="277"/>
      <c r="BS17" s="277"/>
      <c r="BT17" s="277"/>
      <c r="BU17" s="277"/>
      <c r="BV17" s="277"/>
      <c r="BW17" s="277"/>
      <c r="BX17" s="277"/>
      <c r="BY17" s="277"/>
      <c r="BZ17" s="277"/>
      <c r="CA17" s="277"/>
      <c r="CB17" s="277"/>
      <c r="CC17" s="277"/>
      <c r="CD17" s="277"/>
      <c r="CE17" s="277"/>
      <c r="CF17" s="277"/>
      <c r="CG17" s="277"/>
      <c r="CH17" s="277"/>
      <c r="CI17" s="277"/>
      <c r="CJ17" s="277"/>
      <c r="CK17" s="277"/>
      <c r="CL17" s="277"/>
      <c r="CM17" s="277"/>
      <c r="CN17" s="277"/>
      <c r="CO17" s="277"/>
      <c r="CP17" s="277"/>
      <c r="CQ17" s="277"/>
      <c r="CR17" s="277"/>
      <c r="CS17" s="277"/>
      <c r="CT17" s="277"/>
    </row>
    <row r="18" spans="1:98">
      <c r="A18" s="246">
        <v>1</v>
      </c>
      <c r="B18" s="246" t="s">
        <v>1232</v>
      </c>
      <c r="C18" s="246" t="s">
        <v>1300</v>
      </c>
      <c r="D18" s="246" t="s">
        <v>1280</v>
      </c>
      <c r="E18" s="415">
        <v>46052</v>
      </c>
      <c r="F18" s="415">
        <v>46052</v>
      </c>
      <c r="G18" s="268">
        <v>1</v>
      </c>
      <c r="H18" s="269"/>
      <c r="I18" s="473"/>
      <c r="J18" s="473"/>
      <c r="K18" s="473"/>
      <c r="L18" s="473"/>
      <c r="M18" s="473"/>
      <c r="N18" s="473"/>
      <c r="O18" s="473"/>
      <c r="P18" s="473"/>
      <c r="Q18" s="473"/>
      <c r="R18" s="507"/>
      <c r="S18" s="504"/>
      <c r="T18" s="505"/>
      <c r="U18" s="505"/>
      <c r="V18" s="505"/>
      <c r="W18" s="505"/>
      <c r="X18" s="505"/>
      <c r="Y18" s="505"/>
      <c r="Z18" s="505"/>
      <c r="AA18" s="505"/>
      <c r="AB18" s="511"/>
      <c r="AC18" s="514"/>
      <c r="AD18" s="508"/>
      <c r="AE18" s="508"/>
      <c r="AF18" s="508"/>
      <c r="AG18" s="508"/>
      <c r="AH18" s="508"/>
      <c r="AI18" s="508"/>
      <c r="AJ18" s="508"/>
      <c r="AK18" s="508"/>
      <c r="AL18" s="508"/>
      <c r="AM18" s="327"/>
      <c r="AN18" s="277"/>
      <c r="AO18" s="277"/>
      <c r="AP18" s="277"/>
      <c r="AQ18" s="277"/>
      <c r="AR18" s="277"/>
      <c r="AS18" s="277"/>
      <c r="AT18" s="277"/>
      <c r="AU18" s="277"/>
      <c r="AV18" s="277"/>
      <c r="AW18" s="277"/>
      <c r="AX18" s="277"/>
      <c r="AY18" s="277"/>
      <c r="AZ18" s="277"/>
      <c r="BA18" s="277"/>
      <c r="BB18" s="277"/>
      <c r="BC18" s="277"/>
      <c r="BD18" s="277"/>
      <c r="BE18" s="277"/>
      <c r="BF18" s="277"/>
      <c r="BG18" s="277"/>
      <c r="BH18" s="277"/>
      <c r="BI18" s="277"/>
      <c r="BJ18" s="277"/>
      <c r="BK18" s="277"/>
      <c r="BL18" s="277"/>
      <c r="BM18" s="277"/>
      <c r="BN18" s="277"/>
      <c r="BO18" s="277"/>
      <c r="BP18" s="277"/>
      <c r="BQ18" s="277"/>
      <c r="BR18" s="277"/>
      <c r="BS18" s="277"/>
      <c r="BT18" s="277"/>
      <c r="BU18" s="277"/>
      <c r="BV18" s="277"/>
      <c r="BW18" s="277"/>
      <c r="BX18" s="277"/>
      <c r="BY18" s="277"/>
      <c r="BZ18" s="277"/>
      <c r="CA18" s="277"/>
      <c r="CB18" s="277"/>
      <c r="CC18" s="277"/>
      <c r="CD18" s="277"/>
      <c r="CE18" s="277"/>
      <c r="CF18" s="277"/>
      <c r="CG18" s="277"/>
      <c r="CH18" s="277"/>
      <c r="CI18" s="277"/>
      <c r="CJ18" s="277"/>
      <c r="CK18" s="277"/>
      <c r="CL18" s="277"/>
      <c r="CM18" s="277"/>
      <c r="CN18" s="277"/>
      <c r="CO18" s="277"/>
      <c r="CP18" s="277"/>
      <c r="CQ18" s="277"/>
      <c r="CR18" s="277"/>
      <c r="CS18" s="277"/>
      <c r="CT18" s="277"/>
    </row>
    <row r="19" spans="1:98">
      <c r="A19" s="313">
        <v>2</v>
      </c>
      <c r="B19" s="313" t="s">
        <v>1278</v>
      </c>
      <c r="C19" s="313" t="s">
        <v>1301</v>
      </c>
      <c r="D19" s="314" t="s">
        <v>1280</v>
      </c>
      <c r="E19" s="313" t="s">
        <v>1281</v>
      </c>
      <c r="F19" s="313"/>
      <c r="G19" s="313"/>
      <c r="H19" s="315"/>
      <c r="I19" s="476"/>
      <c r="J19" s="476"/>
      <c r="K19" s="476"/>
      <c r="L19" s="476"/>
      <c r="M19" s="476"/>
      <c r="N19" s="476"/>
      <c r="O19" s="476"/>
      <c r="P19" s="476"/>
      <c r="Q19" s="476"/>
      <c r="R19" s="476"/>
      <c r="S19" s="515"/>
      <c r="T19" s="515"/>
      <c r="U19" s="515"/>
      <c r="V19" s="515"/>
      <c r="W19" s="515"/>
      <c r="X19" s="515"/>
      <c r="Y19" s="515"/>
      <c r="Z19" s="515"/>
      <c r="AA19" s="515"/>
      <c r="AB19" s="516"/>
      <c r="AC19" s="577" t="s">
        <v>1302</v>
      </c>
      <c r="AD19" s="578"/>
      <c r="AE19" s="578"/>
      <c r="AF19" s="578"/>
      <c r="AG19" s="578"/>
      <c r="AH19" s="578"/>
      <c r="AI19" s="578"/>
      <c r="AJ19" s="578"/>
      <c r="AK19" s="578"/>
      <c r="AL19" s="579"/>
      <c r="AM19" s="323"/>
      <c r="AN19" s="324"/>
      <c r="AO19" s="324"/>
      <c r="AP19" s="324"/>
      <c r="AQ19" s="324"/>
      <c r="AR19" s="324"/>
      <c r="AS19" s="324"/>
      <c r="AT19" s="324"/>
      <c r="AU19" s="324"/>
      <c r="AV19" s="324"/>
      <c r="AW19" s="323"/>
      <c r="AX19" s="324"/>
      <c r="AY19" s="324"/>
      <c r="AZ19" s="324"/>
      <c r="BA19" s="324"/>
      <c r="BB19" s="324"/>
      <c r="BC19" s="324"/>
      <c r="BD19" s="324"/>
      <c r="BE19" s="324"/>
      <c r="BF19" s="324"/>
      <c r="BG19" s="323"/>
      <c r="BH19" s="324"/>
      <c r="BI19" s="324"/>
      <c r="BJ19" s="324"/>
      <c r="BK19" s="324"/>
      <c r="BL19" s="324"/>
      <c r="BM19" s="324"/>
      <c r="BN19" s="324"/>
      <c r="BO19" s="324"/>
      <c r="BP19" s="324"/>
      <c r="BQ19" s="323"/>
      <c r="BR19" s="324"/>
      <c r="BS19" s="324"/>
      <c r="BT19" s="324"/>
      <c r="BU19" s="324"/>
      <c r="BV19" s="324"/>
      <c r="BW19" s="324"/>
      <c r="BX19" s="324"/>
      <c r="BY19" s="324"/>
      <c r="BZ19" s="324"/>
      <c r="CA19" s="323"/>
      <c r="CB19" s="324"/>
      <c r="CC19" s="324"/>
      <c r="CD19" s="324"/>
      <c r="CE19" s="324"/>
      <c r="CF19" s="324"/>
      <c r="CG19" s="324"/>
      <c r="CH19" s="324"/>
      <c r="CI19" s="324"/>
      <c r="CJ19" s="324"/>
      <c r="CK19" s="323"/>
      <c r="CL19" s="324"/>
      <c r="CM19" s="324"/>
      <c r="CN19" s="324"/>
      <c r="CO19" s="324"/>
      <c r="CP19" s="324"/>
      <c r="CQ19" s="324"/>
      <c r="CR19" s="324"/>
      <c r="CS19" s="324"/>
      <c r="CT19" s="324"/>
    </row>
    <row r="20" spans="1:98">
      <c r="A20" s="246">
        <v>2</v>
      </c>
      <c r="B20" s="246" t="s">
        <v>1232</v>
      </c>
      <c r="C20" s="246" t="s">
        <v>1303</v>
      </c>
      <c r="D20" s="246" t="s">
        <v>1280</v>
      </c>
      <c r="E20" s="267">
        <v>46055</v>
      </c>
      <c r="F20" s="267">
        <v>46056</v>
      </c>
      <c r="G20" s="268">
        <v>2</v>
      </c>
      <c r="H20" s="269"/>
      <c r="I20" s="473"/>
      <c r="J20" s="473"/>
      <c r="K20" s="473"/>
      <c r="L20" s="473"/>
      <c r="M20" s="473"/>
      <c r="N20" s="473"/>
      <c r="O20" s="473"/>
      <c r="P20" s="473"/>
      <c r="Q20" s="473"/>
      <c r="R20" s="473"/>
      <c r="S20" s="473"/>
      <c r="T20" s="473"/>
      <c r="U20" s="473"/>
      <c r="V20" s="473"/>
      <c r="W20" s="473"/>
      <c r="X20" s="473"/>
      <c r="Y20" s="473"/>
      <c r="Z20" s="473"/>
      <c r="AA20" s="473"/>
      <c r="AB20" s="507"/>
      <c r="AC20" s="500"/>
      <c r="AD20" s="477"/>
      <c r="AE20" s="473"/>
      <c r="AF20" s="473"/>
      <c r="AG20" s="473"/>
      <c r="AH20" s="473"/>
      <c r="AI20" s="473"/>
      <c r="AJ20" s="473"/>
      <c r="AK20" s="473"/>
      <c r="AL20" s="501"/>
      <c r="AM20" s="327"/>
      <c r="AN20" s="277"/>
      <c r="AO20" s="277"/>
      <c r="AP20" s="277"/>
      <c r="AQ20" s="277"/>
      <c r="AR20" s="277"/>
      <c r="AS20" s="277"/>
      <c r="AT20" s="277"/>
      <c r="AU20" s="277"/>
      <c r="AV20" s="277"/>
      <c r="AW20" s="327"/>
      <c r="AX20" s="277"/>
      <c r="AY20" s="277"/>
      <c r="AZ20" s="277"/>
      <c r="BA20" s="277"/>
      <c r="BB20" s="277"/>
      <c r="BC20" s="277"/>
      <c r="BD20" s="277"/>
      <c r="BE20" s="277"/>
      <c r="BF20" s="277"/>
      <c r="BG20" s="327"/>
      <c r="BH20" s="277"/>
      <c r="BI20" s="277"/>
      <c r="BJ20" s="277"/>
      <c r="BK20" s="277"/>
      <c r="BL20" s="277"/>
      <c r="BM20" s="277"/>
      <c r="BN20" s="277"/>
      <c r="BO20" s="277"/>
      <c r="BP20" s="277"/>
      <c r="BQ20" s="327"/>
      <c r="BR20" s="277"/>
      <c r="BS20" s="277"/>
      <c r="BT20" s="277"/>
      <c r="BU20" s="277"/>
      <c r="BV20" s="277"/>
      <c r="BW20" s="277"/>
      <c r="BX20" s="277"/>
      <c r="BY20" s="277"/>
      <c r="BZ20" s="277"/>
      <c r="CA20" s="327"/>
      <c r="CB20" s="277"/>
      <c r="CC20" s="277"/>
      <c r="CD20" s="277"/>
      <c r="CE20" s="277"/>
      <c r="CF20" s="277"/>
      <c r="CG20" s="277"/>
      <c r="CH20" s="277"/>
      <c r="CI20" s="277"/>
      <c r="CJ20" s="277"/>
      <c r="CK20" s="327"/>
      <c r="CL20" s="277"/>
      <c r="CM20" s="277"/>
      <c r="CN20" s="277"/>
      <c r="CO20" s="277"/>
      <c r="CP20" s="277"/>
      <c r="CQ20" s="277"/>
      <c r="CR20" s="277"/>
      <c r="CS20" s="277"/>
      <c r="CT20" s="277"/>
    </row>
    <row r="21" spans="1:98">
      <c r="A21" s="246">
        <v>2</v>
      </c>
      <c r="B21" s="246" t="s">
        <v>1232</v>
      </c>
      <c r="C21" s="246" t="s">
        <v>1304</v>
      </c>
      <c r="D21" s="246" t="s">
        <v>1280</v>
      </c>
      <c r="E21" s="267">
        <v>46056</v>
      </c>
      <c r="F21" s="267">
        <v>46057</v>
      </c>
      <c r="G21" s="268">
        <v>2</v>
      </c>
      <c r="H21" s="269"/>
      <c r="I21" s="473"/>
      <c r="J21" s="473"/>
      <c r="K21" s="473"/>
      <c r="L21" s="473"/>
      <c r="M21" s="473"/>
      <c r="N21" s="473"/>
      <c r="O21" s="473"/>
      <c r="P21" s="473"/>
      <c r="Q21" s="473"/>
      <c r="R21" s="473"/>
      <c r="S21" s="473"/>
      <c r="T21" s="473"/>
      <c r="U21" s="473"/>
      <c r="V21" s="473"/>
      <c r="W21" s="473"/>
      <c r="X21" s="473"/>
      <c r="Y21" s="473"/>
      <c r="Z21" s="473"/>
      <c r="AA21" s="473"/>
      <c r="AB21" s="507"/>
      <c r="AC21" s="502"/>
      <c r="AD21" s="477"/>
      <c r="AE21" s="477"/>
      <c r="AF21" s="473"/>
      <c r="AG21" s="473"/>
      <c r="AH21" s="473"/>
      <c r="AI21" s="473"/>
      <c r="AJ21" s="473"/>
      <c r="AK21" s="473"/>
      <c r="AL21" s="501"/>
      <c r="AM21" s="327"/>
      <c r="AN21" s="277"/>
      <c r="AO21" s="277"/>
      <c r="AP21" s="277"/>
      <c r="AQ21" s="277"/>
      <c r="AR21" s="277"/>
      <c r="AS21" s="277"/>
      <c r="AT21" s="277"/>
      <c r="AU21" s="277"/>
      <c r="AV21" s="277"/>
      <c r="AW21" s="327"/>
      <c r="AX21" s="277"/>
      <c r="AY21" s="277"/>
      <c r="AZ21" s="277"/>
      <c r="BA21" s="277"/>
      <c r="BB21" s="277"/>
      <c r="BC21" s="277"/>
      <c r="BD21" s="277"/>
      <c r="BE21" s="277"/>
      <c r="BF21" s="277"/>
      <c r="BG21" s="327"/>
      <c r="BH21" s="277"/>
      <c r="BI21" s="277"/>
      <c r="BJ21" s="277"/>
      <c r="BK21" s="277"/>
      <c r="BL21" s="277"/>
      <c r="BM21" s="277"/>
      <c r="BN21" s="277"/>
      <c r="BO21" s="277"/>
      <c r="BP21" s="277"/>
      <c r="BQ21" s="327"/>
      <c r="BR21" s="277"/>
      <c r="BS21" s="277"/>
      <c r="BT21" s="277"/>
      <c r="BU21" s="277"/>
      <c r="BV21" s="277"/>
      <c r="BW21" s="277"/>
      <c r="BX21" s="277"/>
      <c r="BY21" s="277"/>
      <c r="BZ21" s="277"/>
      <c r="CA21" s="327"/>
      <c r="CB21" s="277"/>
      <c r="CC21" s="277"/>
      <c r="CD21" s="277"/>
      <c r="CE21" s="277"/>
      <c r="CF21" s="277"/>
      <c r="CG21" s="277"/>
      <c r="CH21" s="277"/>
      <c r="CI21" s="277"/>
      <c r="CJ21" s="277"/>
      <c r="CK21" s="327"/>
      <c r="CL21" s="277"/>
      <c r="CM21" s="277"/>
      <c r="CN21" s="277"/>
      <c r="CO21" s="277"/>
      <c r="CP21" s="277"/>
      <c r="CQ21" s="277"/>
      <c r="CR21" s="277"/>
      <c r="CS21" s="277"/>
      <c r="CT21" s="277"/>
    </row>
    <row r="22" spans="1:98">
      <c r="A22" s="246">
        <v>2</v>
      </c>
      <c r="B22" s="246" t="s">
        <v>1232</v>
      </c>
      <c r="C22" s="246" t="s">
        <v>1305</v>
      </c>
      <c r="D22" s="246" t="s">
        <v>1280</v>
      </c>
      <c r="E22" s="267">
        <v>46055</v>
      </c>
      <c r="F22" s="267">
        <v>46064</v>
      </c>
      <c r="G22" s="268">
        <v>8</v>
      </c>
      <c r="H22" s="269"/>
      <c r="I22" s="473"/>
      <c r="J22" s="473"/>
      <c r="K22" s="473"/>
      <c r="L22" s="473"/>
      <c r="M22" s="473"/>
      <c r="N22" s="473"/>
      <c r="O22" s="473"/>
      <c r="P22" s="473"/>
      <c r="Q22" s="473"/>
      <c r="R22" s="473"/>
      <c r="S22" s="473"/>
      <c r="T22" s="473"/>
      <c r="U22" s="473"/>
      <c r="V22" s="473"/>
      <c r="W22" s="473"/>
      <c r="X22" s="473"/>
      <c r="Y22" s="473"/>
      <c r="Z22" s="473"/>
      <c r="AA22" s="473"/>
      <c r="AB22" s="507"/>
      <c r="AC22" s="477"/>
      <c r="AD22" s="477"/>
      <c r="AE22" s="477"/>
      <c r="AF22" s="477"/>
      <c r="AG22" s="477"/>
      <c r="AH22" s="477"/>
      <c r="AI22" s="477"/>
      <c r="AJ22" s="477"/>
      <c r="AK22" s="473"/>
      <c r="AL22" s="501"/>
      <c r="AM22" s="327"/>
      <c r="AN22" s="277"/>
      <c r="AO22" s="277"/>
      <c r="AP22" s="277"/>
      <c r="AQ22" s="277"/>
      <c r="AR22" s="277"/>
      <c r="AS22" s="277"/>
      <c r="AT22" s="277"/>
      <c r="AU22" s="277"/>
      <c r="AV22" s="277"/>
      <c r="AW22" s="327"/>
      <c r="AX22" s="277"/>
      <c r="AY22" s="277"/>
      <c r="AZ22" s="277"/>
      <c r="BA22" s="277"/>
      <c r="BB22" s="277"/>
      <c r="BC22" s="277"/>
      <c r="BD22" s="277"/>
      <c r="BE22" s="277"/>
      <c r="BF22" s="277"/>
      <c r="BG22" s="327"/>
      <c r="BH22" s="277"/>
      <c r="BI22" s="277"/>
      <c r="BJ22" s="277"/>
      <c r="BK22" s="277"/>
      <c r="BL22" s="277"/>
      <c r="BM22" s="277"/>
      <c r="BN22" s="277"/>
      <c r="BO22" s="277"/>
      <c r="BP22" s="277"/>
      <c r="BQ22" s="327"/>
      <c r="BR22" s="277"/>
      <c r="BS22" s="277"/>
      <c r="BT22" s="277"/>
      <c r="BU22" s="277"/>
      <c r="BV22" s="277"/>
      <c r="BW22" s="277"/>
      <c r="BX22" s="277"/>
      <c r="BY22" s="277"/>
      <c r="BZ22" s="277"/>
      <c r="CA22" s="327"/>
      <c r="CB22" s="277"/>
      <c r="CC22" s="277"/>
      <c r="CD22" s="277"/>
      <c r="CE22" s="277"/>
      <c r="CF22" s="277"/>
      <c r="CG22" s="277"/>
      <c r="CH22" s="277"/>
      <c r="CI22" s="277"/>
      <c r="CJ22" s="277"/>
      <c r="CK22" s="327"/>
      <c r="CL22" s="277"/>
      <c r="CM22" s="277"/>
      <c r="CN22" s="277"/>
      <c r="CO22" s="277"/>
      <c r="CP22" s="277"/>
      <c r="CQ22" s="277"/>
      <c r="CR22" s="277"/>
      <c r="CS22" s="277"/>
      <c r="CT22" s="277"/>
    </row>
    <row r="23" spans="1:98">
      <c r="A23" s="246">
        <v>2</v>
      </c>
      <c r="B23" s="246" t="s">
        <v>1232</v>
      </c>
      <c r="C23" s="246" t="s">
        <v>1306</v>
      </c>
      <c r="D23" s="246" t="s">
        <v>1280</v>
      </c>
      <c r="E23" s="267">
        <v>46055</v>
      </c>
      <c r="F23" s="267">
        <v>46064</v>
      </c>
      <c r="G23" s="268">
        <v>8</v>
      </c>
      <c r="H23" s="269"/>
      <c r="I23" s="473"/>
      <c r="J23" s="473"/>
      <c r="K23" s="473"/>
      <c r="L23" s="473"/>
      <c r="M23" s="473"/>
      <c r="N23" s="473"/>
      <c r="O23" s="473"/>
      <c r="P23" s="473"/>
      <c r="Q23" s="473"/>
      <c r="R23" s="473"/>
      <c r="S23" s="473"/>
      <c r="T23" s="473"/>
      <c r="U23" s="473"/>
      <c r="V23" s="473"/>
      <c r="W23" s="473"/>
      <c r="X23" s="473"/>
      <c r="Y23" s="473"/>
      <c r="Z23" s="473"/>
      <c r="AA23" s="473"/>
      <c r="AB23" s="507"/>
      <c r="AC23" s="500"/>
      <c r="AD23" s="477"/>
      <c r="AE23" s="477"/>
      <c r="AF23" s="477"/>
      <c r="AG23" s="477"/>
      <c r="AH23" s="477"/>
      <c r="AI23" s="477"/>
      <c r="AJ23" s="477"/>
      <c r="AK23" s="473"/>
      <c r="AL23" s="501"/>
      <c r="AM23" s="327"/>
      <c r="AN23" s="277"/>
      <c r="AO23" s="277"/>
      <c r="AP23" s="277"/>
      <c r="AQ23" s="277"/>
      <c r="AR23" s="277"/>
      <c r="AS23" s="277"/>
      <c r="AT23" s="277"/>
      <c r="AU23" s="277"/>
      <c r="AV23" s="277"/>
      <c r="AW23" s="327"/>
      <c r="AX23" s="277"/>
      <c r="AY23" s="277"/>
      <c r="AZ23" s="277"/>
      <c r="BA23" s="277"/>
      <c r="BB23" s="277"/>
      <c r="BC23" s="277"/>
      <c r="BD23" s="277"/>
      <c r="BE23" s="277"/>
      <c r="BF23" s="277"/>
      <c r="BG23" s="327"/>
      <c r="BH23" s="277"/>
      <c r="BI23" s="277"/>
      <c r="BJ23" s="277"/>
      <c r="BK23" s="277"/>
      <c r="BL23" s="277"/>
      <c r="BM23" s="277"/>
      <c r="BN23" s="277"/>
      <c r="BO23" s="277"/>
      <c r="BP23" s="277"/>
      <c r="BQ23" s="327"/>
      <c r="BR23" s="277"/>
      <c r="BS23" s="277"/>
      <c r="BT23" s="277"/>
      <c r="BU23" s="277"/>
      <c r="BV23" s="277"/>
      <c r="BW23" s="277"/>
      <c r="BX23" s="277"/>
      <c r="BY23" s="277"/>
      <c r="BZ23" s="277"/>
      <c r="CA23" s="327"/>
      <c r="CB23" s="277"/>
      <c r="CC23" s="277"/>
      <c r="CD23" s="277"/>
      <c r="CE23" s="277"/>
      <c r="CF23" s="277"/>
      <c r="CG23" s="277"/>
      <c r="CH23" s="277"/>
      <c r="CI23" s="277"/>
      <c r="CJ23" s="277"/>
      <c r="CK23" s="327"/>
      <c r="CL23" s="277"/>
      <c r="CM23" s="277"/>
      <c r="CN23" s="277"/>
      <c r="CO23" s="277"/>
      <c r="CP23" s="277"/>
      <c r="CQ23" s="277"/>
      <c r="CR23" s="277"/>
      <c r="CS23" s="277"/>
      <c r="CT23" s="277"/>
    </row>
    <row r="24" spans="1:98">
      <c r="A24" s="246">
        <v>2</v>
      </c>
      <c r="B24" s="246" t="s">
        <v>1232</v>
      </c>
      <c r="C24" s="246" t="s">
        <v>1307</v>
      </c>
      <c r="D24" s="246" t="s">
        <v>1280</v>
      </c>
      <c r="E24" s="267">
        <v>46064</v>
      </c>
      <c r="F24" s="267">
        <v>46065</v>
      </c>
      <c r="G24" s="268">
        <v>2</v>
      </c>
      <c r="H24" s="269"/>
      <c r="I24" s="473"/>
      <c r="J24" s="473"/>
      <c r="K24" s="473"/>
      <c r="L24" s="473"/>
      <c r="M24" s="473"/>
      <c r="N24" s="473"/>
      <c r="O24" s="473"/>
      <c r="P24" s="473"/>
      <c r="Q24" s="473"/>
      <c r="R24" s="473"/>
      <c r="S24" s="473"/>
      <c r="T24" s="473"/>
      <c r="U24" s="473"/>
      <c r="V24" s="473"/>
      <c r="W24" s="473"/>
      <c r="X24" s="473"/>
      <c r="Y24" s="473"/>
      <c r="Z24" s="473"/>
      <c r="AA24" s="473"/>
      <c r="AB24" s="507"/>
      <c r="AC24" s="502"/>
      <c r="AD24" s="473"/>
      <c r="AE24" s="473"/>
      <c r="AF24" s="473"/>
      <c r="AG24" s="473"/>
      <c r="AH24" s="473"/>
      <c r="AI24" s="473"/>
      <c r="AJ24" s="191"/>
      <c r="AK24" s="477"/>
      <c r="AL24" s="503"/>
      <c r="AM24" s="327"/>
      <c r="AN24" s="277"/>
      <c r="AO24" s="277"/>
      <c r="AP24" s="277"/>
      <c r="AQ24" s="277"/>
      <c r="AR24" s="277"/>
      <c r="AS24" s="277"/>
      <c r="AT24" s="277"/>
      <c r="AU24" s="277"/>
      <c r="AV24" s="277"/>
      <c r="AW24" s="327"/>
      <c r="AX24" s="277"/>
      <c r="AY24" s="277"/>
      <c r="AZ24" s="277"/>
      <c r="BA24" s="277"/>
      <c r="BB24" s="277"/>
      <c r="BC24" s="277"/>
      <c r="BD24" s="277"/>
      <c r="BE24" s="277"/>
      <c r="BF24" s="277"/>
      <c r="BG24" s="327"/>
      <c r="BH24" s="277"/>
      <c r="BI24" s="277"/>
      <c r="BJ24" s="277"/>
      <c r="BK24" s="277"/>
      <c r="BL24" s="277"/>
      <c r="BM24" s="277"/>
      <c r="BN24" s="277"/>
      <c r="BO24" s="277"/>
      <c r="BP24" s="277"/>
      <c r="BQ24" s="327"/>
      <c r="BR24" s="277"/>
      <c r="BS24" s="277"/>
      <c r="BT24" s="277"/>
      <c r="BU24" s="277"/>
      <c r="BV24" s="277"/>
      <c r="BW24" s="277"/>
      <c r="BX24" s="277"/>
      <c r="BY24" s="277"/>
      <c r="BZ24" s="277"/>
      <c r="CA24" s="327"/>
      <c r="CB24" s="277"/>
      <c r="CC24" s="277"/>
      <c r="CD24" s="277"/>
      <c r="CE24" s="277"/>
      <c r="CF24" s="277"/>
      <c r="CG24" s="277"/>
      <c r="CH24" s="277"/>
      <c r="CI24" s="277"/>
      <c r="CJ24" s="277"/>
      <c r="CK24" s="327"/>
      <c r="CL24" s="277"/>
      <c r="CM24" s="277"/>
      <c r="CN24" s="277"/>
      <c r="CO24" s="277"/>
      <c r="CP24" s="277"/>
      <c r="CQ24" s="277"/>
      <c r="CR24" s="277"/>
      <c r="CS24" s="277"/>
      <c r="CT24" s="277"/>
    </row>
    <row r="25" spans="1:98">
      <c r="A25" s="246">
        <v>2</v>
      </c>
      <c r="B25" s="246" t="s">
        <v>1232</v>
      </c>
      <c r="C25" s="246" t="s">
        <v>1308</v>
      </c>
      <c r="D25" s="246" t="s">
        <v>1280</v>
      </c>
      <c r="E25" s="267">
        <v>46066</v>
      </c>
      <c r="F25" s="267">
        <v>46066</v>
      </c>
      <c r="G25" s="268">
        <v>1</v>
      </c>
      <c r="H25" s="269"/>
      <c r="I25" s="473"/>
      <c r="J25" s="473"/>
      <c r="K25" s="473"/>
      <c r="L25" s="473"/>
      <c r="M25" s="473"/>
      <c r="N25" s="473"/>
      <c r="O25" s="473"/>
      <c r="P25" s="473"/>
      <c r="Q25" s="473"/>
      <c r="R25" s="473"/>
      <c r="S25" s="473"/>
      <c r="T25" s="473"/>
      <c r="U25" s="473"/>
      <c r="V25" s="473"/>
      <c r="W25" s="473"/>
      <c r="X25" s="473"/>
      <c r="Y25" s="473"/>
      <c r="Z25" s="473"/>
      <c r="AA25" s="473"/>
      <c r="AB25" s="507"/>
      <c r="AC25" s="504"/>
      <c r="AD25" s="505"/>
      <c r="AE25" s="505"/>
      <c r="AF25" s="505"/>
      <c r="AG25" s="505"/>
      <c r="AH25" s="505"/>
      <c r="AI25" s="505"/>
      <c r="AJ25" s="505"/>
      <c r="AK25" s="505"/>
      <c r="AL25" s="506"/>
      <c r="AM25" s="390"/>
      <c r="AN25" s="391"/>
      <c r="AO25" s="391"/>
      <c r="AP25" s="391"/>
      <c r="AQ25" s="391"/>
      <c r="AR25" s="391"/>
      <c r="AS25" s="391"/>
      <c r="AT25" s="391"/>
      <c r="AU25" s="391"/>
      <c r="AV25" s="391"/>
      <c r="AW25" s="327"/>
      <c r="AX25" s="277"/>
      <c r="AY25" s="277"/>
      <c r="AZ25" s="277"/>
      <c r="BA25" s="277"/>
      <c r="BB25" s="277"/>
      <c r="BC25" s="277"/>
      <c r="BD25" s="277"/>
      <c r="BE25" s="277"/>
      <c r="BF25" s="277"/>
      <c r="BG25" s="327"/>
      <c r="BH25" s="277"/>
      <c r="BI25" s="277"/>
      <c r="BJ25" s="277"/>
      <c r="BK25" s="277"/>
      <c r="BL25" s="277"/>
      <c r="BM25" s="277"/>
      <c r="BN25" s="277"/>
      <c r="BO25" s="277"/>
      <c r="BP25" s="277"/>
      <c r="BQ25" s="327"/>
      <c r="BR25" s="277"/>
      <c r="BS25" s="277"/>
      <c r="BT25" s="277"/>
      <c r="BU25" s="277"/>
      <c r="BV25" s="277"/>
      <c r="BW25" s="277"/>
      <c r="BX25" s="277"/>
      <c r="BY25" s="277"/>
      <c r="BZ25" s="277"/>
      <c r="CA25" s="327"/>
      <c r="CB25" s="277"/>
      <c r="CC25" s="277"/>
      <c r="CD25" s="277"/>
      <c r="CE25" s="277"/>
      <c r="CF25" s="277"/>
      <c r="CG25" s="277"/>
      <c r="CH25" s="277"/>
      <c r="CI25" s="277"/>
      <c r="CJ25" s="277"/>
      <c r="CK25" s="327"/>
      <c r="CL25" s="277"/>
      <c r="CM25" s="277"/>
      <c r="CN25" s="277"/>
      <c r="CO25" s="277"/>
      <c r="CP25" s="277"/>
      <c r="CQ25" s="277"/>
      <c r="CR25" s="277"/>
      <c r="CS25" s="277"/>
      <c r="CT25" s="277"/>
    </row>
    <row r="26" spans="1:98">
      <c r="A26" s="392">
        <v>3</v>
      </c>
      <c r="B26" s="392" t="s">
        <v>1278</v>
      </c>
      <c r="C26" s="392" t="s">
        <v>1309</v>
      </c>
      <c r="D26" s="393" t="s">
        <v>1280</v>
      </c>
      <c r="E26" s="393" t="s">
        <v>1281</v>
      </c>
      <c r="F26" s="392"/>
      <c r="G26" s="393"/>
      <c r="H26" s="393"/>
      <c r="I26" s="478"/>
      <c r="J26" s="478"/>
      <c r="K26" s="478"/>
      <c r="L26" s="478"/>
      <c r="M26" s="478"/>
      <c r="N26" s="478"/>
      <c r="O26" s="478"/>
      <c r="P26" s="478"/>
      <c r="Q26" s="478"/>
      <c r="R26" s="478"/>
      <c r="S26" s="478"/>
      <c r="T26" s="478"/>
      <c r="U26" s="478"/>
      <c r="V26" s="478"/>
      <c r="W26" s="478"/>
      <c r="X26" s="478"/>
      <c r="Y26" s="478"/>
      <c r="Z26" s="478"/>
      <c r="AA26" s="478"/>
      <c r="AB26" s="478"/>
      <c r="AC26" s="509"/>
      <c r="AD26" s="509"/>
      <c r="AE26" s="509"/>
      <c r="AF26" s="509"/>
      <c r="AG26" s="509"/>
      <c r="AH26" s="509"/>
      <c r="AI26" s="509"/>
      <c r="AJ26" s="509"/>
      <c r="AK26" s="509"/>
      <c r="AL26" s="509"/>
      <c r="AM26" s="540" t="s">
        <v>1310</v>
      </c>
      <c r="AN26" s="540"/>
      <c r="AO26" s="540"/>
      <c r="AP26" s="540"/>
      <c r="AQ26" s="540"/>
      <c r="AR26" s="540"/>
      <c r="AS26" s="540"/>
      <c r="AT26" s="540"/>
      <c r="AU26" s="540"/>
      <c r="AV26" s="541"/>
      <c r="AW26" s="580"/>
      <c r="AX26" s="580"/>
      <c r="AY26" s="394"/>
      <c r="AZ26" s="395"/>
      <c r="BA26" s="395"/>
      <c r="BB26" s="395"/>
      <c r="BC26" s="395"/>
      <c r="BD26" s="395"/>
      <c r="BE26" s="395"/>
      <c r="BF26" s="395"/>
      <c r="BG26" s="581"/>
      <c r="BH26" s="580"/>
      <c r="BI26" s="394"/>
      <c r="BJ26" s="394"/>
      <c r="BK26" s="394"/>
      <c r="BL26" s="394"/>
      <c r="BM26" s="394"/>
      <c r="BN26" s="394"/>
      <c r="BO26" s="394"/>
      <c r="BP26" s="394"/>
      <c r="BQ26" s="542"/>
      <c r="BR26" s="543"/>
      <c r="BS26" s="543"/>
      <c r="BT26" s="543"/>
      <c r="BU26" s="544"/>
      <c r="BV26" s="394"/>
      <c r="BW26" s="394"/>
      <c r="BX26" s="394"/>
      <c r="BY26" s="394"/>
      <c r="BZ26" s="394"/>
      <c r="CA26" s="581"/>
      <c r="CB26" s="580"/>
      <c r="CC26" s="394"/>
      <c r="CD26" s="394"/>
      <c r="CE26" s="394"/>
      <c r="CF26" s="394"/>
      <c r="CG26" s="394"/>
      <c r="CH26" s="394"/>
      <c r="CI26" s="394"/>
      <c r="CJ26" s="394"/>
      <c r="CK26" s="581"/>
      <c r="CL26" s="580"/>
      <c r="CM26" s="394"/>
      <c r="CN26" s="394"/>
      <c r="CO26" s="394"/>
      <c r="CP26" s="394"/>
      <c r="CQ26" s="394"/>
      <c r="CR26" s="394"/>
      <c r="CS26" s="394"/>
      <c r="CT26" s="394"/>
    </row>
    <row r="27" spans="1:98">
      <c r="A27" s="246">
        <v>3</v>
      </c>
      <c r="B27" s="246" t="s">
        <v>1232</v>
      </c>
      <c r="C27" s="246" t="s">
        <v>1311</v>
      </c>
      <c r="D27" s="246" t="s">
        <v>1280</v>
      </c>
      <c r="E27" s="267">
        <v>46069</v>
      </c>
      <c r="F27" s="267">
        <v>46070</v>
      </c>
      <c r="G27" s="268">
        <v>2</v>
      </c>
      <c r="H27" s="246"/>
      <c r="I27" s="473"/>
      <c r="J27" s="473"/>
      <c r="K27" s="473"/>
      <c r="L27" s="473"/>
      <c r="M27" s="473"/>
      <c r="N27" s="473"/>
      <c r="O27" s="473"/>
      <c r="P27" s="473"/>
      <c r="Q27" s="473"/>
      <c r="R27" s="473"/>
      <c r="S27" s="473"/>
      <c r="T27" s="473"/>
      <c r="U27" s="473"/>
      <c r="V27" s="473"/>
      <c r="W27" s="473"/>
      <c r="X27" s="473"/>
      <c r="Y27" s="473"/>
      <c r="Z27" s="473"/>
      <c r="AA27" s="473"/>
      <c r="AB27" s="473"/>
      <c r="AC27" s="473"/>
      <c r="AD27" s="473"/>
      <c r="AE27" s="473"/>
      <c r="AF27" s="473"/>
      <c r="AG27" s="473"/>
      <c r="AH27" s="473"/>
      <c r="AI27" s="473"/>
      <c r="AJ27" s="473"/>
      <c r="AK27" s="473"/>
      <c r="AL27" s="473"/>
      <c r="AM27" s="486"/>
      <c r="AN27" s="397"/>
      <c r="AO27" s="398"/>
      <c r="AP27" s="398"/>
      <c r="AQ27" s="398"/>
      <c r="AR27" s="418"/>
      <c r="AS27" s="418"/>
      <c r="AT27" s="418"/>
      <c r="AU27" s="398"/>
      <c r="AV27" s="405"/>
      <c r="AW27" s="404"/>
      <c r="AX27" s="238"/>
      <c r="AY27" s="238"/>
      <c r="AZ27" s="327"/>
      <c r="BA27" s="277"/>
      <c r="BB27" s="277"/>
      <c r="BC27" s="277"/>
      <c r="BD27" s="277"/>
      <c r="BE27" s="277"/>
      <c r="BF27" s="351"/>
      <c r="BG27" s="238"/>
      <c r="BH27" s="238"/>
      <c r="BI27" s="238"/>
      <c r="BJ27" s="238"/>
      <c r="BK27" s="238"/>
      <c r="BL27" s="238"/>
      <c r="BM27" s="238"/>
      <c r="BN27" s="238"/>
      <c r="BO27" s="238"/>
      <c r="BP27" s="238"/>
      <c r="BQ27" s="238"/>
      <c r="BR27" s="238"/>
      <c r="BS27" s="238"/>
      <c r="BT27" s="238"/>
      <c r="BU27" s="238"/>
      <c r="BV27" s="238"/>
      <c r="BW27" s="238"/>
      <c r="BX27" s="238"/>
      <c r="BY27" s="238"/>
      <c r="BZ27" s="238"/>
      <c r="CA27" s="238"/>
      <c r="CB27" s="238"/>
      <c r="CC27" s="238"/>
      <c r="CD27" s="238"/>
      <c r="CE27" s="238"/>
      <c r="CF27" s="238"/>
      <c r="CG27" s="238"/>
      <c r="CH27" s="238"/>
      <c r="CI27" s="238"/>
      <c r="CJ27" s="238"/>
      <c r="CK27" s="238"/>
      <c r="CL27" s="238"/>
      <c r="CM27" s="238"/>
      <c r="CN27" s="238"/>
      <c r="CO27" s="238"/>
      <c r="CP27" s="238"/>
      <c r="CQ27" s="238"/>
      <c r="CR27" s="238"/>
      <c r="CS27" s="238"/>
      <c r="CT27" s="238"/>
    </row>
    <row r="28" spans="1:98">
      <c r="A28" s="246">
        <v>3</v>
      </c>
      <c r="B28" s="246" t="s">
        <v>1232</v>
      </c>
      <c r="C28" s="246" t="s">
        <v>1312</v>
      </c>
      <c r="D28" s="246" t="s">
        <v>1280</v>
      </c>
      <c r="E28" s="267">
        <v>46071</v>
      </c>
      <c r="F28" s="267">
        <v>46073</v>
      </c>
      <c r="G28" s="268">
        <v>3</v>
      </c>
      <c r="H28" s="246"/>
      <c r="I28" s="473"/>
      <c r="J28" s="238"/>
      <c r="K28" s="473"/>
      <c r="L28" s="473"/>
      <c r="M28" s="473"/>
      <c r="N28" s="473"/>
      <c r="O28" s="473"/>
      <c r="P28" s="473"/>
      <c r="Q28" s="473"/>
      <c r="R28" s="473"/>
      <c r="S28" s="473"/>
      <c r="T28" s="473"/>
      <c r="U28" s="473"/>
      <c r="V28" s="473"/>
      <c r="W28" s="473"/>
      <c r="X28" s="473"/>
      <c r="Y28" s="473"/>
      <c r="Z28" s="473"/>
      <c r="AA28" s="473"/>
      <c r="AB28" s="473"/>
      <c r="AC28" s="473"/>
      <c r="AD28" s="473"/>
      <c r="AE28" s="473"/>
      <c r="AF28" s="473"/>
      <c r="AG28" s="473"/>
      <c r="AH28" s="473"/>
      <c r="AI28" s="473"/>
      <c r="AJ28" s="473"/>
      <c r="AK28" s="473"/>
      <c r="AL28" s="473"/>
      <c r="AM28" s="404"/>
      <c r="AN28" s="238"/>
      <c r="AO28" s="396"/>
      <c r="AP28" s="396"/>
      <c r="AQ28" s="417"/>
      <c r="AR28" s="191"/>
      <c r="AS28" s="191"/>
      <c r="AT28" s="191"/>
      <c r="AU28" s="404"/>
      <c r="AV28" s="400"/>
      <c r="AW28" s="404"/>
      <c r="AX28" s="238"/>
      <c r="AY28" s="238"/>
      <c r="AZ28" s="327"/>
      <c r="BA28" s="277"/>
      <c r="BB28" s="277"/>
      <c r="BC28" s="277"/>
      <c r="BD28" s="277"/>
      <c r="BE28" s="277"/>
      <c r="BF28" s="351"/>
      <c r="BG28" s="238"/>
      <c r="BH28" s="238"/>
      <c r="BI28" s="238"/>
      <c r="BJ28" s="238"/>
      <c r="BK28" s="238"/>
      <c r="BL28" s="238"/>
      <c r="BM28" s="238"/>
      <c r="BN28" s="238"/>
      <c r="BO28" s="238"/>
      <c r="BP28" s="238"/>
      <c r="BQ28" s="238"/>
      <c r="BR28" s="238"/>
      <c r="BS28" s="238"/>
      <c r="BT28" s="238"/>
      <c r="BU28" s="238"/>
      <c r="BV28" s="238"/>
      <c r="BW28" s="238"/>
      <c r="BX28" s="238"/>
      <c r="BY28" s="238"/>
      <c r="BZ28" s="238"/>
      <c r="CA28" s="238"/>
      <c r="CB28" s="238"/>
      <c r="CC28" s="238"/>
      <c r="CD28" s="238"/>
      <c r="CE28" s="238"/>
      <c r="CF28" s="238"/>
      <c r="CG28" s="238"/>
      <c r="CH28" s="238"/>
      <c r="CI28" s="238"/>
      <c r="CJ28" s="238"/>
      <c r="CK28" s="238"/>
      <c r="CL28" s="238"/>
      <c r="CM28" s="238"/>
      <c r="CN28" s="238"/>
      <c r="CO28" s="238"/>
      <c r="CP28" s="238"/>
      <c r="CQ28" s="238"/>
      <c r="CR28" s="238"/>
      <c r="CS28" s="238"/>
      <c r="CT28" s="238"/>
    </row>
    <row r="29" spans="1:98">
      <c r="A29" s="246">
        <v>3</v>
      </c>
      <c r="B29" s="246" t="s">
        <v>1232</v>
      </c>
      <c r="C29" s="526" t="s">
        <v>1313</v>
      </c>
      <c r="D29" s="246" t="s">
        <v>1280</v>
      </c>
      <c r="E29" s="267">
        <v>46076</v>
      </c>
      <c r="F29" s="267">
        <v>46079</v>
      </c>
      <c r="G29" s="268">
        <v>4</v>
      </c>
      <c r="H29" s="246"/>
      <c r="I29" s="473"/>
      <c r="J29" s="238"/>
      <c r="K29" s="473"/>
      <c r="L29" s="473"/>
      <c r="M29" s="473"/>
      <c r="N29" s="473"/>
      <c r="O29" s="473"/>
      <c r="P29" s="473"/>
      <c r="Q29" s="473"/>
      <c r="R29" s="473"/>
      <c r="S29" s="473"/>
      <c r="T29" s="473"/>
      <c r="U29" s="473"/>
      <c r="V29" s="473"/>
      <c r="W29" s="473"/>
      <c r="X29" s="473"/>
      <c r="Y29" s="473"/>
      <c r="Z29" s="473"/>
      <c r="AA29" s="473"/>
      <c r="AB29" s="473"/>
      <c r="AC29" s="473"/>
      <c r="AD29" s="473"/>
      <c r="AE29" s="473"/>
      <c r="AF29" s="473"/>
      <c r="AG29" s="473"/>
      <c r="AH29" s="473"/>
      <c r="AI29" s="473"/>
      <c r="AJ29" s="473"/>
      <c r="AK29" s="473"/>
      <c r="AL29" s="473"/>
      <c r="AM29" s="404"/>
      <c r="AN29" s="238"/>
      <c r="AO29" s="238"/>
      <c r="AP29" s="238"/>
      <c r="AR29" s="397"/>
      <c r="AS29" s="397"/>
      <c r="AT29" s="397"/>
      <c r="AU29" s="396"/>
      <c r="AV29" s="400"/>
      <c r="AW29" s="404"/>
      <c r="AX29" s="238"/>
      <c r="AY29" s="238"/>
      <c r="AZ29" s="327"/>
      <c r="BA29" s="277"/>
      <c r="BB29" s="277"/>
      <c r="BC29" s="277"/>
      <c r="BD29" s="277"/>
      <c r="BE29" s="277"/>
      <c r="BF29" s="351"/>
      <c r="BG29" s="238"/>
      <c r="BH29" s="238"/>
      <c r="BI29" s="238"/>
      <c r="BJ29" s="238"/>
      <c r="BK29" s="238"/>
      <c r="BL29" s="238"/>
      <c r="BM29" s="238"/>
      <c r="BN29" s="238"/>
      <c r="BO29" s="238"/>
      <c r="BP29" s="238"/>
      <c r="BQ29" s="238"/>
      <c r="BR29" s="238"/>
      <c r="BS29" s="238"/>
      <c r="BT29" s="238"/>
      <c r="BU29" s="238"/>
      <c r="BV29" s="238"/>
      <c r="BW29" s="238"/>
      <c r="BX29" s="238"/>
      <c r="BY29" s="238"/>
      <c r="BZ29" s="238"/>
      <c r="CA29" s="238"/>
      <c r="CB29" s="238"/>
      <c r="CC29" s="238"/>
      <c r="CD29" s="238"/>
      <c r="CE29" s="238"/>
      <c r="CF29" s="238"/>
      <c r="CG29" s="238"/>
      <c r="CH29" s="238"/>
      <c r="CI29" s="238"/>
      <c r="CJ29" s="238"/>
      <c r="CK29" s="238"/>
      <c r="CL29" s="238"/>
      <c r="CM29" s="238"/>
      <c r="CN29" s="238"/>
      <c r="CO29" s="238"/>
      <c r="CP29" s="238"/>
      <c r="CQ29" s="238"/>
      <c r="CR29" s="238"/>
      <c r="CS29" s="238"/>
      <c r="CT29" s="238"/>
    </row>
    <row r="30" spans="1:98">
      <c r="A30" s="246">
        <v>3</v>
      </c>
      <c r="B30" s="246" t="s">
        <v>1232</v>
      </c>
      <c r="C30" s="246" t="s">
        <v>1314</v>
      </c>
      <c r="D30" s="246" t="s">
        <v>1280</v>
      </c>
      <c r="E30" s="267">
        <v>46069</v>
      </c>
      <c r="F30" s="267">
        <v>46079</v>
      </c>
      <c r="G30" s="268">
        <v>8</v>
      </c>
      <c r="H30" s="246"/>
      <c r="I30" s="473"/>
      <c r="J30" s="473"/>
      <c r="K30" s="473"/>
      <c r="L30" s="473"/>
      <c r="M30" s="473"/>
      <c r="N30" s="473"/>
      <c r="O30" s="473"/>
      <c r="P30" s="473"/>
      <c r="Q30" s="473"/>
      <c r="R30" s="473"/>
      <c r="S30" s="473"/>
      <c r="T30" s="473"/>
      <c r="U30" s="473"/>
      <c r="V30" s="473"/>
      <c r="W30" s="473"/>
      <c r="X30" s="473"/>
      <c r="Y30" s="473"/>
      <c r="Z30" s="473"/>
      <c r="AA30" s="473"/>
      <c r="AB30" s="473"/>
      <c r="AC30" s="473"/>
      <c r="AD30" s="473"/>
      <c r="AE30" s="473"/>
      <c r="AF30" s="473"/>
      <c r="AG30" s="473"/>
      <c r="AH30" s="473"/>
      <c r="AI30" s="473"/>
      <c r="AJ30" s="473"/>
      <c r="AK30" s="473"/>
      <c r="AL30" s="473"/>
      <c r="AM30" s="487"/>
      <c r="AN30" s="396"/>
      <c r="AO30" s="396"/>
      <c r="AP30" s="396"/>
      <c r="AQ30" s="396"/>
      <c r="AR30" s="396"/>
      <c r="AS30" s="396"/>
      <c r="AT30" s="396"/>
      <c r="AU30" s="238"/>
      <c r="AV30" s="400"/>
      <c r="AW30" s="404"/>
      <c r="AX30" s="238"/>
      <c r="AY30" s="238"/>
      <c r="AZ30" s="327"/>
      <c r="BA30" s="277"/>
      <c r="BB30" s="277"/>
      <c r="BC30" s="277"/>
      <c r="BD30" s="277"/>
      <c r="BE30" s="277"/>
      <c r="BF30" s="351"/>
      <c r="BG30" s="238"/>
      <c r="BH30" s="238"/>
      <c r="BI30" s="238"/>
      <c r="BJ30" s="238"/>
      <c r="BK30" s="238"/>
      <c r="BL30" s="238"/>
      <c r="BM30" s="238"/>
      <c r="BN30" s="238"/>
      <c r="BO30" s="238"/>
      <c r="BP30" s="238"/>
      <c r="BQ30" s="238"/>
      <c r="BR30" s="238"/>
      <c r="BS30" s="238"/>
      <c r="BT30" s="238"/>
      <c r="BU30" s="238"/>
      <c r="BV30" s="238"/>
      <c r="BW30" s="238"/>
      <c r="BX30" s="238"/>
      <c r="BY30" s="238"/>
      <c r="BZ30" s="238"/>
      <c r="CA30" s="238"/>
      <c r="CB30" s="238"/>
      <c r="CC30" s="238"/>
      <c r="CD30" s="238"/>
      <c r="CE30" s="238"/>
      <c r="CF30" s="238"/>
      <c r="CG30" s="238"/>
      <c r="CH30" s="238"/>
      <c r="CI30" s="238"/>
      <c r="CJ30" s="238"/>
      <c r="CK30" s="238"/>
      <c r="CL30" s="238"/>
      <c r="CM30" s="238"/>
      <c r="CN30" s="238"/>
      <c r="CO30" s="238"/>
      <c r="CP30" s="238"/>
      <c r="CQ30" s="238"/>
      <c r="CR30" s="238"/>
      <c r="CS30" s="238"/>
      <c r="CT30" s="238"/>
    </row>
    <row r="31" spans="1:98">
      <c r="A31" s="246">
        <v>3</v>
      </c>
      <c r="B31" s="246" t="s">
        <v>1232</v>
      </c>
      <c r="C31" s="246" t="s">
        <v>1307</v>
      </c>
      <c r="D31" s="246" t="s">
        <v>1280</v>
      </c>
      <c r="E31" s="267">
        <v>46079</v>
      </c>
      <c r="F31" s="267">
        <v>46080</v>
      </c>
      <c r="G31" s="268">
        <v>2</v>
      </c>
      <c r="H31" s="246"/>
      <c r="I31" s="473"/>
      <c r="J31" s="473"/>
      <c r="K31" s="473"/>
      <c r="L31" s="473"/>
      <c r="M31" s="473"/>
      <c r="N31" s="473"/>
      <c r="O31" s="473"/>
      <c r="P31" s="473"/>
      <c r="Q31" s="473"/>
      <c r="R31" s="473"/>
      <c r="S31" s="473"/>
      <c r="T31" s="473"/>
      <c r="U31" s="473"/>
      <c r="V31" s="473"/>
      <c r="W31" s="473"/>
      <c r="X31" s="473"/>
      <c r="Y31" s="473"/>
      <c r="Z31" s="473"/>
      <c r="AA31" s="473"/>
      <c r="AB31" s="473"/>
      <c r="AC31" s="473"/>
      <c r="AD31" s="473"/>
      <c r="AE31" s="473"/>
      <c r="AF31" s="473"/>
      <c r="AG31" s="473"/>
      <c r="AH31" s="473"/>
      <c r="AI31" s="473"/>
      <c r="AJ31" s="473"/>
      <c r="AK31" s="473"/>
      <c r="AL31" s="473"/>
      <c r="AM31" s="404"/>
      <c r="AN31" s="238"/>
      <c r="AO31" s="238"/>
      <c r="AP31" s="238"/>
      <c r="AQ31" s="238"/>
      <c r="AR31" s="238"/>
      <c r="AS31" s="238"/>
      <c r="AT31" s="238"/>
      <c r="AU31" s="396"/>
      <c r="AV31" s="406"/>
      <c r="AW31" s="404"/>
      <c r="AX31" s="238"/>
      <c r="AY31" s="238"/>
      <c r="AZ31" s="327"/>
      <c r="BA31" s="277"/>
      <c r="BB31" s="277"/>
      <c r="BC31" s="277"/>
      <c r="BD31" s="277"/>
      <c r="BE31" s="277"/>
      <c r="BF31" s="351"/>
      <c r="BG31" s="238"/>
      <c r="BH31" s="238"/>
      <c r="BI31" s="238"/>
      <c r="BJ31" s="238"/>
      <c r="BK31" s="238"/>
      <c r="BL31" s="238"/>
      <c r="BM31" s="238"/>
      <c r="BN31" s="238"/>
      <c r="BO31" s="238"/>
      <c r="BP31" s="238"/>
      <c r="BQ31" s="238"/>
      <c r="BR31" s="238"/>
      <c r="BS31" s="238"/>
      <c r="BT31" s="238"/>
      <c r="BU31" s="238"/>
      <c r="BV31" s="238"/>
      <c r="BW31" s="238"/>
      <c r="BX31" s="238"/>
      <c r="BY31" s="238"/>
      <c r="BZ31" s="238"/>
      <c r="CA31" s="238"/>
      <c r="CB31" s="238"/>
      <c r="CC31" s="238"/>
      <c r="CD31" s="238"/>
      <c r="CE31" s="238"/>
      <c r="CF31" s="238"/>
      <c r="CG31" s="238"/>
      <c r="CH31" s="238"/>
      <c r="CI31" s="238"/>
      <c r="CJ31" s="238"/>
      <c r="CK31" s="238"/>
      <c r="CL31" s="238"/>
      <c r="CM31" s="238"/>
      <c r="CN31" s="238"/>
      <c r="CO31" s="238"/>
      <c r="CP31" s="238"/>
      <c r="CQ31" s="238"/>
      <c r="CR31" s="238"/>
      <c r="CS31" s="238"/>
      <c r="CT31" s="238"/>
    </row>
    <row r="32" spans="1:98">
      <c r="A32" s="246">
        <v>3</v>
      </c>
      <c r="B32" s="246" t="s">
        <v>1232</v>
      </c>
      <c r="C32" s="246" t="s">
        <v>1315</v>
      </c>
      <c r="D32" s="246" t="s">
        <v>1280</v>
      </c>
      <c r="E32" s="267">
        <v>46080</v>
      </c>
      <c r="F32" s="267">
        <v>46080</v>
      </c>
      <c r="G32" s="268">
        <v>1</v>
      </c>
      <c r="H32" s="246"/>
      <c r="I32" s="473"/>
      <c r="J32" s="473"/>
      <c r="K32" s="473"/>
      <c r="L32" s="473"/>
      <c r="M32" s="473"/>
      <c r="N32" s="473"/>
      <c r="O32" s="473"/>
      <c r="P32" s="473"/>
      <c r="Q32" s="473"/>
      <c r="R32" s="473"/>
      <c r="S32" s="473"/>
      <c r="T32" s="473"/>
      <c r="U32" s="473"/>
      <c r="V32" s="473"/>
      <c r="W32" s="473"/>
      <c r="X32" s="473"/>
      <c r="Y32" s="473"/>
      <c r="Z32" s="473"/>
      <c r="AA32" s="473"/>
      <c r="AB32" s="473"/>
      <c r="AC32" s="473"/>
      <c r="AD32" s="473"/>
      <c r="AE32" s="473"/>
      <c r="AF32" s="473"/>
      <c r="AG32" s="473"/>
      <c r="AH32" s="473"/>
      <c r="AI32" s="473"/>
      <c r="AJ32" s="473"/>
      <c r="AK32" s="473"/>
      <c r="AL32" s="473"/>
      <c r="AM32" s="488"/>
      <c r="AN32" s="403"/>
      <c r="AO32" s="403"/>
      <c r="AP32" s="403"/>
      <c r="AQ32" s="403"/>
      <c r="AR32" s="403"/>
      <c r="AS32" s="403"/>
      <c r="AT32" s="403"/>
      <c r="AU32" s="403"/>
      <c r="AV32" s="407"/>
      <c r="AW32" s="408"/>
      <c r="AX32" s="409"/>
      <c r="AY32" s="409"/>
      <c r="AZ32" s="390"/>
      <c r="BA32" s="391"/>
      <c r="BB32" s="391"/>
      <c r="BC32" s="391"/>
      <c r="BD32" s="391"/>
      <c r="BE32" s="391"/>
      <c r="BF32" s="424"/>
      <c r="BG32" s="238"/>
      <c r="BH32" s="238"/>
      <c r="BI32" s="238"/>
      <c r="BJ32" s="238"/>
      <c r="BK32" s="238"/>
      <c r="BL32" s="238"/>
      <c r="BM32" s="238"/>
      <c r="BN32" s="238"/>
      <c r="BO32" s="238"/>
      <c r="BP32" s="238"/>
      <c r="BQ32" s="238"/>
      <c r="BR32" s="238"/>
      <c r="BS32" s="238"/>
      <c r="BT32" s="238"/>
      <c r="BU32" s="238"/>
      <c r="BV32" s="238"/>
      <c r="BW32" s="238"/>
      <c r="BX32" s="238"/>
      <c r="BY32" s="238"/>
      <c r="BZ32" s="238"/>
      <c r="CA32" s="238"/>
      <c r="CB32" s="238"/>
      <c r="CC32" s="238"/>
      <c r="CD32" s="238"/>
      <c r="CE32" s="238"/>
      <c r="CF32" s="238"/>
      <c r="CG32" s="238"/>
      <c r="CH32" s="238"/>
      <c r="CI32" s="238"/>
      <c r="CJ32" s="238"/>
      <c r="CK32" s="238"/>
      <c r="CL32" s="238"/>
      <c r="CM32" s="238"/>
      <c r="CN32" s="238"/>
      <c r="CO32" s="238"/>
      <c r="CP32" s="238"/>
      <c r="CQ32" s="238"/>
      <c r="CR32" s="238"/>
      <c r="CS32" s="238"/>
      <c r="CT32" s="238"/>
    </row>
    <row r="33" spans="1:98" s="414" customFormat="1">
      <c r="A33" s="410">
        <v>4</v>
      </c>
      <c r="B33" s="410" t="s">
        <v>1278</v>
      </c>
      <c r="C33" s="410" t="s">
        <v>1316</v>
      </c>
      <c r="D33" s="411" t="s">
        <v>1280</v>
      </c>
      <c r="E33" s="411" t="s">
        <v>1281</v>
      </c>
      <c r="F33" s="410"/>
      <c r="G33" s="411"/>
      <c r="H33" s="411"/>
      <c r="I33" s="479"/>
      <c r="J33" s="479"/>
      <c r="K33" s="479"/>
      <c r="L33" s="479"/>
      <c r="M33" s="479"/>
      <c r="N33" s="479"/>
      <c r="O33" s="479"/>
      <c r="P33" s="479"/>
      <c r="Q33" s="479"/>
      <c r="R33" s="479"/>
      <c r="S33" s="479"/>
      <c r="T33" s="479"/>
      <c r="U33" s="479"/>
      <c r="V33" s="479"/>
      <c r="W33" s="479"/>
      <c r="X33" s="479"/>
      <c r="Y33" s="479"/>
      <c r="Z33" s="479"/>
      <c r="AA33" s="479"/>
      <c r="AB33" s="479"/>
      <c r="AC33" s="479"/>
      <c r="AD33" s="479"/>
      <c r="AE33" s="479"/>
      <c r="AF33" s="479"/>
      <c r="AG33" s="479"/>
      <c r="AH33" s="479"/>
      <c r="AI33" s="479"/>
      <c r="AJ33" s="479"/>
      <c r="AK33" s="479"/>
      <c r="AL33" s="479"/>
      <c r="AM33" s="489"/>
      <c r="AN33" s="412"/>
      <c r="AO33" s="582"/>
      <c r="AP33" s="582"/>
      <c r="AQ33" s="412"/>
      <c r="AR33" s="412"/>
      <c r="AS33" s="412"/>
      <c r="AT33" s="412"/>
      <c r="AU33" s="412"/>
      <c r="AV33" s="413"/>
      <c r="AW33" s="545" t="s">
        <v>1317</v>
      </c>
      <c r="AX33" s="546"/>
      <c r="AY33" s="546"/>
      <c r="AZ33" s="546"/>
      <c r="BA33" s="546"/>
      <c r="BB33" s="546"/>
      <c r="BC33" s="546"/>
      <c r="BD33" s="546"/>
      <c r="BE33" s="546"/>
      <c r="BF33" s="547"/>
      <c r="BG33" s="431"/>
      <c r="BH33" s="420"/>
      <c r="BI33" s="583"/>
      <c r="BJ33" s="583"/>
      <c r="BK33" s="420"/>
      <c r="BL33" s="420"/>
      <c r="BM33" s="420"/>
      <c r="BN33" s="420"/>
      <c r="BO33" s="420"/>
      <c r="BP33" s="420"/>
      <c r="BQ33" s="420"/>
      <c r="BR33" s="420"/>
      <c r="BS33" s="583"/>
      <c r="BT33" s="583"/>
      <c r="BU33" s="420"/>
      <c r="BV33" s="420"/>
      <c r="BW33" s="420"/>
      <c r="BX33" s="420"/>
      <c r="BY33" s="420"/>
      <c r="BZ33" s="420"/>
      <c r="CA33" s="420"/>
      <c r="CB33" s="420"/>
      <c r="CC33" s="583"/>
      <c r="CD33" s="583"/>
      <c r="CE33" s="420"/>
      <c r="CF33" s="420"/>
      <c r="CG33" s="420"/>
      <c r="CH33" s="420"/>
      <c r="CI33" s="420"/>
      <c r="CJ33" s="420"/>
      <c r="CK33" s="420"/>
      <c r="CL33" s="420"/>
      <c r="CM33" s="583"/>
      <c r="CN33" s="583"/>
      <c r="CO33" s="420"/>
      <c r="CP33" s="420"/>
      <c r="CQ33" s="420"/>
      <c r="CR33" s="420"/>
      <c r="CS33" s="420"/>
      <c r="CT33" s="420"/>
    </row>
    <row r="34" spans="1:98">
      <c r="A34" s="246">
        <v>4</v>
      </c>
      <c r="B34" s="246" t="s">
        <v>1232</v>
      </c>
      <c r="C34" s="358" t="s">
        <v>1318</v>
      </c>
      <c r="D34" s="246" t="s">
        <v>1280</v>
      </c>
      <c r="E34" s="267">
        <v>46083</v>
      </c>
      <c r="F34" s="267">
        <v>46085</v>
      </c>
      <c r="G34" s="268">
        <v>3</v>
      </c>
      <c r="H34" s="246"/>
      <c r="I34" s="473"/>
      <c r="J34" s="473"/>
      <c r="K34" s="473"/>
      <c r="L34" s="473"/>
      <c r="M34" s="473"/>
      <c r="N34" s="473"/>
      <c r="O34" s="473"/>
      <c r="P34" s="473"/>
      <c r="Q34" s="473"/>
      <c r="R34" s="473"/>
      <c r="S34" s="473"/>
      <c r="T34" s="473"/>
      <c r="U34" s="473"/>
      <c r="V34" s="473"/>
      <c r="W34" s="473"/>
      <c r="X34" s="473"/>
      <c r="Y34" s="473"/>
      <c r="Z34" s="473"/>
      <c r="AA34" s="473"/>
      <c r="AB34" s="473"/>
      <c r="AC34" s="473"/>
      <c r="AD34" s="473"/>
      <c r="AE34" s="473"/>
      <c r="AF34" s="473"/>
      <c r="AG34" s="473"/>
      <c r="AH34" s="473"/>
      <c r="AI34" s="473"/>
      <c r="AJ34" s="473"/>
      <c r="AK34" s="473"/>
      <c r="AL34" s="473"/>
      <c r="AM34" s="404"/>
      <c r="AN34" s="238"/>
      <c r="AO34" s="238"/>
      <c r="AP34" s="238"/>
      <c r="AQ34" s="238"/>
      <c r="AR34" s="238"/>
      <c r="AS34" s="238"/>
      <c r="AT34" s="238"/>
      <c r="AU34" s="238"/>
      <c r="AV34" s="399"/>
      <c r="AW34" s="419"/>
      <c r="AX34" s="420"/>
      <c r="AY34" s="420"/>
      <c r="AZ34" s="420"/>
      <c r="BA34" s="420"/>
      <c r="BB34" s="238"/>
      <c r="BC34" s="238"/>
      <c r="BD34" s="238"/>
      <c r="BE34" s="238"/>
      <c r="BF34" s="400"/>
      <c r="BG34" s="404"/>
      <c r="BH34" s="238"/>
      <c r="BI34" s="238"/>
      <c r="BJ34" s="238"/>
      <c r="BK34" s="238"/>
      <c r="BL34" s="238"/>
      <c r="BM34" s="238"/>
      <c r="BN34" s="238"/>
      <c r="BO34" s="238"/>
      <c r="BP34" s="238"/>
      <c r="BQ34" s="238"/>
      <c r="BR34" s="238"/>
      <c r="BS34" s="238"/>
      <c r="BT34" s="238"/>
      <c r="BU34" s="238"/>
      <c r="BV34" s="238"/>
      <c r="BW34" s="238"/>
      <c r="BX34" s="238"/>
      <c r="BY34" s="238"/>
      <c r="BZ34" s="238"/>
      <c r="CA34" s="238"/>
      <c r="CB34" s="238"/>
      <c r="CC34" s="238"/>
      <c r="CD34" s="238"/>
      <c r="CE34" s="238"/>
      <c r="CF34" s="238"/>
      <c r="CG34" s="238"/>
      <c r="CH34" s="238"/>
      <c r="CI34" s="238"/>
      <c r="CJ34" s="238"/>
      <c r="CK34" s="238"/>
      <c r="CL34" s="238"/>
      <c r="CM34" s="238"/>
      <c r="CN34" s="238"/>
      <c r="CO34" s="238"/>
      <c r="CP34" s="238"/>
      <c r="CQ34" s="238"/>
      <c r="CR34" s="238"/>
      <c r="CS34" s="238"/>
      <c r="CT34" s="238"/>
    </row>
    <row r="35" spans="1:98">
      <c r="A35" s="246">
        <v>4</v>
      </c>
      <c r="B35" s="246" t="s">
        <v>1232</v>
      </c>
      <c r="C35" s="358" t="s">
        <v>1319</v>
      </c>
      <c r="D35" s="246" t="s">
        <v>1280</v>
      </c>
      <c r="E35" s="267">
        <v>46086</v>
      </c>
      <c r="F35" s="267">
        <v>46092</v>
      </c>
      <c r="G35" s="268">
        <v>5</v>
      </c>
      <c r="H35" s="246"/>
      <c r="I35" s="473"/>
      <c r="J35" s="473"/>
      <c r="K35" s="473"/>
      <c r="L35" s="473"/>
      <c r="M35" s="473"/>
      <c r="N35" s="473"/>
      <c r="O35" s="473"/>
      <c r="P35" s="473"/>
      <c r="Q35" s="473"/>
      <c r="R35" s="473"/>
      <c r="S35" s="473"/>
      <c r="T35" s="473"/>
      <c r="U35" s="473"/>
      <c r="V35" s="473"/>
      <c r="W35" s="473"/>
      <c r="X35" s="473"/>
      <c r="Y35" s="473"/>
      <c r="Z35" s="473"/>
      <c r="AA35" s="473"/>
      <c r="AB35" s="473"/>
      <c r="AC35" s="473"/>
      <c r="AD35" s="473"/>
      <c r="AE35" s="473"/>
      <c r="AF35" s="473"/>
      <c r="AG35" s="473"/>
      <c r="AH35" s="473"/>
      <c r="AI35" s="473"/>
      <c r="AJ35" s="473"/>
      <c r="AK35" s="473"/>
      <c r="AL35" s="473"/>
      <c r="AM35" s="404"/>
      <c r="AN35" s="238"/>
      <c r="AO35" s="238"/>
      <c r="AP35" s="238"/>
      <c r="AQ35" s="238"/>
      <c r="AR35" s="238"/>
      <c r="AS35" s="238"/>
      <c r="AT35" s="238"/>
      <c r="AU35" s="238"/>
      <c r="AV35" s="399"/>
      <c r="AW35" s="401"/>
      <c r="AX35" s="238"/>
      <c r="AY35" s="238"/>
      <c r="AZ35" s="238"/>
      <c r="BA35" s="420"/>
      <c r="BB35" s="420"/>
      <c r="BC35" s="420"/>
      <c r="BD35" s="420"/>
      <c r="BE35" s="238"/>
      <c r="BF35" s="400"/>
      <c r="BG35" s="404"/>
      <c r="BH35" s="238"/>
      <c r="BI35" s="238"/>
      <c r="BJ35" s="238"/>
      <c r="BK35" s="238"/>
      <c r="BL35" s="238"/>
      <c r="BM35" s="238"/>
      <c r="BN35" s="238"/>
      <c r="BO35" s="238"/>
      <c r="BP35" s="238"/>
      <c r="BQ35" s="238"/>
      <c r="BR35" s="238"/>
      <c r="BS35" s="238"/>
      <c r="BT35" s="238"/>
      <c r="BU35" s="238"/>
      <c r="BV35" s="238"/>
      <c r="BW35" s="238"/>
      <c r="BX35" s="238"/>
      <c r="BY35" s="238"/>
      <c r="BZ35" s="238"/>
      <c r="CA35" s="238"/>
      <c r="CB35" s="238"/>
      <c r="CC35" s="238"/>
      <c r="CD35" s="238"/>
      <c r="CE35" s="238"/>
      <c r="CF35" s="238"/>
      <c r="CG35" s="238"/>
      <c r="CH35" s="238"/>
      <c r="CI35" s="238"/>
      <c r="CJ35" s="238"/>
      <c r="CK35" s="238"/>
      <c r="CL35" s="238"/>
      <c r="CM35" s="238"/>
      <c r="CN35" s="238"/>
      <c r="CO35" s="238"/>
      <c r="CP35" s="238"/>
      <c r="CQ35" s="238"/>
      <c r="CR35" s="238"/>
      <c r="CS35" s="238"/>
      <c r="CT35" s="238"/>
    </row>
    <row r="36" spans="1:98">
      <c r="A36" s="246">
        <v>4</v>
      </c>
      <c r="B36" s="246" t="s">
        <v>1232</v>
      </c>
      <c r="C36" s="246" t="s">
        <v>1306</v>
      </c>
      <c r="D36" s="246" t="s">
        <v>1280</v>
      </c>
      <c r="E36" s="267">
        <v>46083</v>
      </c>
      <c r="F36" s="267">
        <v>46093</v>
      </c>
      <c r="G36" s="268">
        <v>8</v>
      </c>
      <c r="H36" s="246"/>
      <c r="I36" s="473"/>
      <c r="J36" s="473"/>
      <c r="K36" s="473"/>
      <c r="L36" s="473"/>
      <c r="M36" s="473"/>
      <c r="N36" s="473"/>
      <c r="O36" s="473"/>
      <c r="P36" s="473"/>
      <c r="Q36" s="473"/>
      <c r="R36" s="473"/>
      <c r="S36" s="473"/>
      <c r="T36" s="473"/>
      <c r="U36" s="473"/>
      <c r="V36" s="473"/>
      <c r="W36" s="473"/>
      <c r="X36" s="473"/>
      <c r="Y36" s="473"/>
      <c r="Z36" s="473"/>
      <c r="AA36" s="473"/>
      <c r="AB36" s="473"/>
      <c r="AC36" s="473"/>
      <c r="AD36" s="473"/>
      <c r="AE36" s="473"/>
      <c r="AF36" s="473"/>
      <c r="AG36" s="473"/>
      <c r="AH36" s="473"/>
      <c r="AI36" s="473"/>
      <c r="AJ36" s="473"/>
      <c r="AK36" s="473"/>
      <c r="AL36" s="473"/>
      <c r="AM36" s="404"/>
      <c r="AN36" s="238"/>
      <c r="AO36" s="238"/>
      <c r="AP36" s="238"/>
      <c r="AQ36" s="238"/>
      <c r="AR36" s="238"/>
      <c r="AS36" s="238"/>
      <c r="AT36" s="238"/>
      <c r="AU36" s="238"/>
      <c r="AV36" s="399"/>
      <c r="AW36" s="419"/>
      <c r="AX36" s="420"/>
      <c r="AY36" s="420"/>
      <c r="AZ36" s="420"/>
      <c r="BA36" s="420"/>
      <c r="BB36" s="420"/>
      <c r="BC36" s="420"/>
      <c r="BD36" s="420"/>
      <c r="BE36" s="238"/>
      <c r="BF36" s="400"/>
      <c r="BG36" s="404"/>
      <c r="BH36" s="238"/>
      <c r="BI36" s="238"/>
      <c r="BJ36" s="238"/>
      <c r="BK36" s="238"/>
      <c r="BL36" s="238"/>
      <c r="BM36" s="238"/>
      <c r="BN36" s="238"/>
      <c r="BO36" s="238"/>
      <c r="BP36" s="238"/>
      <c r="BQ36" s="238"/>
      <c r="BR36" s="238"/>
      <c r="BS36" s="238"/>
      <c r="BT36" s="238"/>
      <c r="BU36" s="238"/>
      <c r="BV36" s="238"/>
      <c r="BW36" s="238"/>
      <c r="BX36" s="238"/>
      <c r="BY36" s="238"/>
      <c r="BZ36" s="238"/>
      <c r="CA36" s="238"/>
      <c r="CB36" s="238"/>
      <c r="CC36" s="238"/>
      <c r="CD36" s="238"/>
      <c r="CE36" s="238"/>
      <c r="CF36" s="238"/>
      <c r="CG36" s="238"/>
      <c r="CH36" s="238"/>
      <c r="CI36" s="238"/>
      <c r="CJ36" s="238"/>
      <c r="CK36" s="238"/>
      <c r="CL36" s="238"/>
      <c r="CM36" s="238"/>
      <c r="CN36" s="238"/>
      <c r="CO36" s="238"/>
      <c r="CP36" s="238"/>
      <c r="CQ36" s="238"/>
      <c r="CR36" s="238"/>
      <c r="CS36" s="238"/>
      <c r="CT36" s="238"/>
    </row>
    <row r="37" spans="1:98">
      <c r="A37" s="246">
        <v>4</v>
      </c>
      <c r="B37" s="246" t="s">
        <v>1232</v>
      </c>
      <c r="C37" s="246" t="s">
        <v>1307</v>
      </c>
      <c r="D37" s="246" t="s">
        <v>1280</v>
      </c>
      <c r="E37" s="267">
        <v>46093</v>
      </c>
      <c r="F37" s="267">
        <v>46094</v>
      </c>
      <c r="G37" s="268">
        <v>2</v>
      </c>
      <c r="H37" s="246"/>
      <c r="I37" s="473"/>
      <c r="J37" s="473"/>
      <c r="K37" s="473"/>
      <c r="L37" s="473"/>
      <c r="M37" s="473"/>
      <c r="N37" s="473"/>
      <c r="O37" s="473"/>
      <c r="P37" s="473"/>
      <c r="Q37" s="473"/>
      <c r="R37" s="473"/>
      <c r="S37" s="473"/>
      <c r="T37" s="473"/>
      <c r="U37" s="473"/>
      <c r="V37" s="473"/>
      <c r="W37" s="473"/>
      <c r="X37" s="473"/>
      <c r="Y37" s="473"/>
      <c r="Z37" s="473"/>
      <c r="AA37" s="473"/>
      <c r="AB37" s="473"/>
      <c r="AC37" s="473"/>
      <c r="AD37" s="473"/>
      <c r="AE37" s="473"/>
      <c r="AF37" s="473"/>
      <c r="AG37" s="473"/>
      <c r="AH37" s="473"/>
      <c r="AI37" s="473"/>
      <c r="AJ37" s="473"/>
      <c r="AK37" s="473"/>
      <c r="AL37" s="473"/>
      <c r="AM37" s="404"/>
      <c r="AN37" s="238"/>
      <c r="AO37" s="238"/>
      <c r="AP37" s="238"/>
      <c r="AQ37" s="238"/>
      <c r="AR37" s="238"/>
      <c r="AS37" s="238"/>
      <c r="AT37" s="238"/>
      <c r="AU37" s="238"/>
      <c r="AV37" s="399"/>
      <c r="AW37" s="401"/>
      <c r="AX37" s="238"/>
      <c r="AY37" s="238"/>
      <c r="AZ37" s="238"/>
      <c r="BA37" s="238"/>
      <c r="BB37" s="238"/>
      <c r="BC37" s="238"/>
      <c r="BD37" s="238"/>
      <c r="BE37" s="420"/>
      <c r="BF37" s="421"/>
      <c r="BG37" s="404"/>
      <c r="BH37" s="238"/>
      <c r="BI37" s="238"/>
      <c r="BJ37" s="238"/>
      <c r="BK37" s="238"/>
      <c r="BL37" s="238"/>
      <c r="BM37" s="238"/>
      <c r="BN37" s="238"/>
      <c r="BO37" s="238"/>
      <c r="BP37" s="238"/>
      <c r="BQ37" s="238"/>
      <c r="BR37" s="238"/>
      <c r="BS37" s="238"/>
      <c r="BT37" s="238"/>
      <c r="BU37" s="238"/>
      <c r="BV37" s="238"/>
      <c r="BW37" s="238"/>
      <c r="BX37" s="238"/>
      <c r="BY37" s="238"/>
      <c r="BZ37" s="238"/>
      <c r="CA37" s="238"/>
      <c r="CB37" s="238"/>
      <c r="CC37" s="238"/>
      <c r="CD37" s="238"/>
      <c r="CE37" s="238"/>
      <c r="CF37" s="238"/>
      <c r="CG37" s="238"/>
      <c r="CH37" s="238"/>
      <c r="CI37" s="238"/>
      <c r="CJ37" s="238"/>
      <c r="CK37" s="238"/>
      <c r="CL37" s="238"/>
      <c r="CM37" s="238"/>
      <c r="CN37" s="238"/>
      <c r="CO37" s="238"/>
      <c r="CP37" s="238"/>
      <c r="CQ37" s="238"/>
      <c r="CR37" s="238"/>
      <c r="CS37" s="238"/>
      <c r="CT37" s="238"/>
    </row>
    <row r="38" spans="1:98">
      <c r="A38" s="246">
        <v>4</v>
      </c>
      <c r="B38" s="246" t="s">
        <v>1232</v>
      </c>
      <c r="C38" s="246" t="s">
        <v>1320</v>
      </c>
      <c r="D38" s="246" t="s">
        <v>1280</v>
      </c>
      <c r="E38" s="267">
        <v>46094</v>
      </c>
      <c r="F38" s="267">
        <v>46094</v>
      </c>
      <c r="G38" s="268">
        <v>1</v>
      </c>
      <c r="H38" s="246"/>
      <c r="I38" s="473"/>
      <c r="J38" s="473"/>
      <c r="K38" s="473"/>
      <c r="L38" s="473"/>
      <c r="M38" s="473"/>
      <c r="N38" s="473"/>
      <c r="O38" s="473"/>
      <c r="P38" s="473"/>
      <c r="Q38" s="473"/>
      <c r="R38" s="473"/>
      <c r="S38" s="473"/>
      <c r="T38" s="473"/>
      <c r="U38" s="473"/>
      <c r="V38" s="473"/>
      <c r="W38" s="473"/>
      <c r="X38" s="473"/>
      <c r="Y38" s="473"/>
      <c r="Z38" s="473"/>
      <c r="AA38" s="473"/>
      <c r="AB38" s="473"/>
      <c r="AC38" s="473"/>
      <c r="AD38" s="473"/>
      <c r="AE38" s="473"/>
      <c r="AF38" s="473"/>
      <c r="AG38" s="473"/>
      <c r="AH38" s="473"/>
      <c r="AI38" s="473"/>
      <c r="AJ38" s="473"/>
      <c r="AK38" s="473"/>
      <c r="AL38" s="473"/>
      <c r="AM38" s="404"/>
      <c r="AN38" s="238"/>
      <c r="AO38" s="238"/>
      <c r="AP38" s="238"/>
      <c r="AQ38" s="238"/>
      <c r="AR38" s="238"/>
      <c r="AS38" s="238"/>
      <c r="AT38" s="238"/>
      <c r="AU38" s="238"/>
      <c r="AV38" s="399"/>
      <c r="AW38" s="402"/>
      <c r="AX38" s="403"/>
      <c r="AY38" s="403"/>
      <c r="AZ38" s="403"/>
      <c r="BA38" s="403"/>
      <c r="BB38" s="403"/>
      <c r="BC38" s="403"/>
      <c r="BD38" s="403"/>
      <c r="BE38" s="403"/>
      <c r="BF38" s="422"/>
      <c r="BG38" s="408"/>
      <c r="BH38" s="409"/>
      <c r="BI38" s="409"/>
      <c r="BJ38" s="409"/>
      <c r="BK38" s="409"/>
      <c r="BL38" s="409"/>
      <c r="BM38" s="409"/>
      <c r="BN38" s="409"/>
      <c r="BO38" s="409"/>
      <c r="BP38" s="409"/>
      <c r="BQ38" s="238"/>
      <c r="BR38" s="238"/>
      <c r="BS38" s="238"/>
      <c r="BT38" s="238"/>
      <c r="BU38" s="238"/>
      <c r="BV38" s="238"/>
      <c r="BW38" s="238"/>
      <c r="BX38" s="238"/>
      <c r="BY38" s="238"/>
      <c r="BZ38" s="238"/>
      <c r="CA38" s="238"/>
      <c r="CB38" s="238"/>
      <c r="CC38" s="238"/>
      <c r="CD38" s="238"/>
      <c r="CE38" s="238"/>
      <c r="CF38" s="238"/>
      <c r="CG38" s="238"/>
      <c r="CH38" s="238"/>
      <c r="CI38" s="238"/>
      <c r="CJ38" s="238"/>
      <c r="CK38" s="238"/>
      <c r="CL38" s="238"/>
      <c r="CM38" s="238"/>
      <c r="CN38" s="238"/>
      <c r="CO38" s="238"/>
      <c r="CP38" s="238"/>
      <c r="CQ38" s="238"/>
      <c r="CR38" s="238"/>
      <c r="CS38" s="238"/>
      <c r="CT38" s="238"/>
    </row>
    <row r="39" spans="1:98" ht="14.45" customHeight="1">
      <c r="A39" s="460">
        <v>5</v>
      </c>
      <c r="B39" s="460" t="s">
        <v>1278</v>
      </c>
      <c r="C39" s="460" t="s">
        <v>1321</v>
      </c>
      <c r="D39" s="461" t="s">
        <v>1280</v>
      </c>
      <c r="E39" s="461" t="s">
        <v>1281</v>
      </c>
      <c r="F39" s="460"/>
      <c r="G39" s="460"/>
      <c r="H39" s="461"/>
      <c r="I39" s="483"/>
      <c r="J39" s="483"/>
      <c r="K39" s="483"/>
      <c r="L39" s="483"/>
      <c r="M39" s="483"/>
      <c r="N39" s="483"/>
      <c r="O39" s="483"/>
      <c r="P39" s="483"/>
      <c r="Q39" s="483"/>
      <c r="R39" s="483"/>
      <c r="S39" s="483"/>
      <c r="T39" s="483"/>
      <c r="U39" s="483"/>
      <c r="V39" s="483"/>
      <c r="W39" s="483"/>
      <c r="X39" s="483"/>
      <c r="Y39" s="483"/>
      <c r="Z39" s="483"/>
      <c r="AA39" s="483"/>
      <c r="AB39" s="483"/>
      <c r="AC39" s="483"/>
      <c r="AD39" s="483"/>
      <c r="AE39" s="483"/>
      <c r="AF39" s="483"/>
      <c r="AG39" s="483"/>
      <c r="AH39" s="483"/>
      <c r="AI39" s="483"/>
      <c r="AJ39" s="483"/>
      <c r="AK39" s="483"/>
      <c r="AL39" s="483"/>
      <c r="AM39" s="490"/>
      <c r="AN39" s="462"/>
      <c r="AO39" s="462"/>
      <c r="AP39" s="462"/>
      <c r="AQ39" s="462"/>
      <c r="AR39" s="462"/>
      <c r="AS39" s="462"/>
      <c r="AT39" s="462"/>
      <c r="AU39" s="462"/>
      <c r="AV39" s="462"/>
      <c r="AW39" s="463"/>
      <c r="AX39" s="464"/>
      <c r="AY39" s="464"/>
      <c r="AZ39" s="464"/>
      <c r="BA39" s="464"/>
      <c r="BB39" s="464"/>
      <c r="BC39" s="465"/>
      <c r="BD39" s="465"/>
      <c r="BE39" s="465"/>
      <c r="BF39" s="466"/>
      <c r="BG39" s="462"/>
      <c r="BH39" s="462"/>
      <c r="BI39" s="462"/>
      <c r="BJ39" s="462"/>
      <c r="BK39" s="462"/>
      <c r="BL39" s="462"/>
      <c r="BM39" s="462"/>
      <c r="BN39" s="462"/>
      <c r="BO39" s="462"/>
      <c r="BP39" s="462"/>
      <c r="BQ39" s="462"/>
      <c r="BR39" s="462"/>
      <c r="BS39" s="462"/>
      <c r="BT39" s="462"/>
      <c r="BU39" s="462"/>
      <c r="BV39" s="462"/>
      <c r="BW39" s="462"/>
      <c r="BX39" s="462"/>
      <c r="BY39" s="462"/>
      <c r="BZ39" s="462"/>
      <c r="CA39" s="467"/>
      <c r="CB39" s="467"/>
      <c r="CC39" s="467"/>
      <c r="CD39" s="467"/>
      <c r="CE39" s="467"/>
      <c r="CF39" s="467"/>
      <c r="CG39" s="467"/>
      <c r="CH39" s="467"/>
      <c r="CI39" s="467"/>
      <c r="CJ39" s="468"/>
      <c r="CK39" s="548" t="s">
        <v>1322</v>
      </c>
      <c r="CL39" s="549"/>
      <c r="CM39" s="549"/>
      <c r="CN39" s="549"/>
      <c r="CO39" s="549"/>
      <c r="CP39" s="549"/>
      <c r="CQ39" s="549"/>
      <c r="CR39" s="549"/>
      <c r="CS39" s="549"/>
      <c r="CT39" s="550"/>
    </row>
    <row r="40" spans="1:98">
      <c r="A40" s="246">
        <v>5</v>
      </c>
      <c r="B40" s="246" t="s">
        <v>1232</v>
      </c>
      <c r="C40" s="246" t="s">
        <v>1323</v>
      </c>
      <c r="D40" s="246" t="s">
        <v>1280</v>
      </c>
      <c r="E40" s="267">
        <v>46097</v>
      </c>
      <c r="F40" s="267">
        <v>46098</v>
      </c>
      <c r="G40" s="268">
        <v>2</v>
      </c>
      <c r="H40" s="246"/>
      <c r="I40" s="473"/>
      <c r="J40" s="473"/>
      <c r="K40" s="473"/>
      <c r="L40" s="473"/>
      <c r="M40" s="473"/>
      <c r="N40" s="473"/>
      <c r="O40" s="473"/>
      <c r="P40" s="473"/>
      <c r="Q40" s="473"/>
      <c r="R40" s="473"/>
      <c r="S40" s="473"/>
      <c r="T40" s="473"/>
      <c r="U40" s="473"/>
      <c r="V40" s="473"/>
      <c r="W40" s="473"/>
      <c r="X40" s="473"/>
      <c r="Y40" s="473"/>
      <c r="Z40" s="473"/>
      <c r="AA40" s="473"/>
      <c r="AB40" s="473"/>
      <c r="AC40" s="473"/>
      <c r="AD40" s="473"/>
      <c r="AE40" s="473"/>
      <c r="AF40" s="473"/>
      <c r="AG40" s="473"/>
      <c r="AH40" s="473"/>
      <c r="AI40" s="473"/>
      <c r="AJ40" s="473"/>
      <c r="AK40" s="473"/>
      <c r="AL40" s="473"/>
      <c r="AM40" s="404"/>
      <c r="AN40" s="238"/>
      <c r="AO40" s="238"/>
      <c r="AP40" s="238"/>
      <c r="AQ40" s="238"/>
      <c r="AR40" s="238"/>
      <c r="AS40" s="238"/>
      <c r="AT40" s="238"/>
      <c r="AU40" s="238"/>
      <c r="AV40" s="238"/>
      <c r="AW40" s="327"/>
      <c r="AX40" s="277"/>
      <c r="AY40" s="277"/>
      <c r="AZ40" s="277"/>
      <c r="BA40" s="277"/>
      <c r="BB40" s="277"/>
      <c r="BC40" s="277"/>
      <c r="BD40" s="277"/>
      <c r="BE40" s="277"/>
      <c r="BF40" s="351"/>
      <c r="BG40" s="238"/>
      <c r="BH40" s="238"/>
      <c r="BI40" s="238"/>
      <c r="BJ40" s="238"/>
      <c r="BK40" s="238"/>
      <c r="BL40" s="238"/>
      <c r="BM40" s="238"/>
      <c r="BN40" s="238"/>
      <c r="BO40" s="238"/>
      <c r="BP40" s="238"/>
      <c r="BQ40" s="238"/>
      <c r="BR40" s="238"/>
      <c r="BS40" s="238"/>
      <c r="BT40" s="238"/>
      <c r="BU40" s="238"/>
      <c r="BV40" s="238"/>
      <c r="BW40" s="238"/>
      <c r="BX40" s="238"/>
      <c r="BY40" s="238"/>
      <c r="BZ40" s="238"/>
      <c r="CA40" s="238"/>
      <c r="CB40" s="238"/>
      <c r="CC40" s="238"/>
      <c r="CD40" s="238"/>
      <c r="CE40" s="238"/>
      <c r="CF40" s="238"/>
      <c r="CG40" s="238"/>
      <c r="CH40" s="238"/>
      <c r="CI40" s="238"/>
      <c r="CJ40" s="399"/>
      <c r="CK40" s="469"/>
      <c r="CL40" s="462"/>
      <c r="CM40" s="238"/>
      <c r="CN40" s="238"/>
      <c r="CO40" s="238"/>
      <c r="CP40" s="238"/>
      <c r="CQ40" s="238"/>
      <c r="CR40" s="238"/>
      <c r="CS40" s="238"/>
      <c r="CT40" s="400"/>
    </row>
    <row r="41" spans="1:98">
      <c r="A41" s="246">
        <v>5</v>
      </c>
      <c r="B41" s="246" t="s">
        <v>1232</v>
      </c>
      <c r="C41" s="246" t="s">
        <v>1324</v>
      </c>
      <c r="D41" s="246" t="s">
        <v>1280</v>
      </c>
      <c r="E41" s="267">
        <v>46097</v>
      </c>
      <c r="F41" s="267">
        <v>46106</v>
      </c>
      <c r="G41" s="268">
        <v>8</v>
      </c>
      <c r="H41" s="246"/>
      <c r="I41" s="473"/>
      <c r="J41" s="473"/>
      <c r="K41" s="473"/>
      <c r="L41" s="473"/>
      <c r="M41" s="473"/>
      <c r="N41" s="473"/>
      <c r="O41" s="473"/>
      <c r="P41" s="473"/>
      <c r="Q41" s="473"/>
      <c r="R41" s="473"/>
      <c r="S41" s="473"/>
      <c r="T41" s="473"/>
      <c r="U41" s="473"/>
      <c r="V41" s="473"/>
      <c r="W41" s="473"/>
      <c r="X41" s="473"/>
      <c r="Y41" s="473"/>
      <c r="Z41" s="473"/>
      <c r="AA41" s="473"/>
      <c r="AB41" s="473"/>
      <c r="AC41" s="473"/>
      <c r="AD41" s="473"/>
      <c r="AE41" s="473"/>
      <c r="AF41" s="473"/>
      <c r="AG41" s="473"/>
      <c r="AH41" s="473"/>
      <c r="AI41" s="473"/>
      <c r="AJ41" s="473"/>
      <c r="AK41" s="473"/>
      <c r="AL41" s="473"/>
      <c r="AM41" s="404"/>
      <c r="AN41" s="238"/>
      <c r="AO41" s="238"/>
      <c r="AP41" s="238"/>
      <c r="AQ41" s="238"/>
      <c r="AR41" s="238"/>
      <c r="AS41" s="238"/>
      <c r="AT41" s="238"/>
      <c r="AU41" s="238"/>
      <c r="AV41" s="238"/>
      <c r="AW41" s="327"/>
      <c r="AX41" s="277"/>
      <c r="AY41" s="277"/>
      <c r="AZ41" s="277"/>
      <c r="BA41" s="277"/>
      <c r="BB41" s="277"/>
      <c r="BC41" s="277"/>
      <c r="BD41" s="277"/>
      <c r="BE41" s="277"/>
      <c r="BF41" s="351"/>
      <c r="BG41" s="238"/>
      <c r="BH41" s="238"/>
      <c r="BI41" s="238"/>
      <c r="BJ41" s="238"/>
      <c r="BK41" s="238"/>
      <c r="BL41" s="238"/>
      <c r="BM41" s="238"/>
      <c r="BN41" s="238"/>
      <c r="BO41" s="238"/>
      <c r="BP41" s="238"/>
      <c r="BQ41" s="238"/>
      <c r="BR41" s="238"/>
      <c r="BS41" s="238"/>
      <c r="BT41" s="238"/>
      <c r="BU41" s="238"/>
      <c r="BV41" s="238"/>
      <c r="BW41" s="238"/>
      <c r="BX41" s="238"/>
      <c r="BY41" s="238"/>
      <c r="BZ41" s="238"/>
      <c r="CA41" s="238"/>
      <c r="CB41" s="238"/>
      <c r="CC41" s="238"/>
      <c r="CD41" s="238"/>
      <c r="CE41" s="238"/>
      <c r="CF41" s="238"/>
      <c r="CG41" s="238"/>
      <c r="CH41" s="238"/>
      <c r="CI41" s="238"/>
      <c r="CJ41" s="399"/>
      <c r="CK41" s="401"/>
      <c r="CL41" s="238"/>
      <c r="CM41" s="462"/>
      <c r="CN41" s="462"/>
      <c r="CO41" s="462"/>
      <c r="CP41" s="462"/>
      <c r="CQ41" s="238"/>
      <c r="CR41" s="238"/>
      <c r="CS41" s="238"/>
      <c r="CT41" s="400"/>
    </row>
    <row r="42" spans="1:98">
      <c r="A42" s="246">
        <v>5</v>
      </c>
      <c r="B42" s="246" t="s">
        <v>1232</v>
      </c>
      <c r="C42" s="246" t="s">
        <v>1325</v>
      </c>
      <c r="D42" s="246" t="s">
        <v>1280</v>
      </c>
      <c r="E42" s="267">
        <v>46106</v>
      </c>
      <c r="F42" s="267">
        <v>46107</v>
      </c>
      <c r="G42" s="268">
        <v>3</v>
      </c>
      <c r="H42" s="246"/>
      <c r="I42" s="473"/>
      <c r="J42" s="473"/>
      <c r="K42" s="473"/>
      <c r="L42" s="473"/>
      <c r="M42" s="473"/>
      <c r="N42" s="473"/>
      <c r="O42" s="473"/>
      <c r="P42" s="473"/>
      <c r="Q42" s="473"/>
      <c r="R42" s="473"/>
      <c r="S42" s="473"/>
      <c r="T42" s="473"/>
      <c r="U42" s="473"/>
      <c r="V42" s="473"/>
      <c r="W42" s="473"/>
      <c r="X42" s="473"/>
      <c r="Y42" s="473"/>
      <c r="Z42" s="473"/>
      <c r="AA42" s="473"/>
      <c r="AB42" s="473"/>
      <c r="AC42" s="473"/>
      <c r="AD42" s="473"/>
      <c r="AE42" s="473"/>
      <c r="AF42" s="473"/>
      <c r="AG42" s="473"/>
      <c r="AH42" s="473"/>
      <c r="AI42" s="473"/>
      <c r="AJ42" s="473"/>
      <c r="AK42" s="473"/>
      <c r="AL42" s="473"/>
      <c r="AM42" s="404"/>
      <c r="AN42" s="238"/>
      <c r="AO42" s="238"/>
      <c r="AP42" s="238"/>
      <c r="AQ42" s="238"/>
      <c r="AR42" s="238"/>
      <c r="AS42" s="238"/>
      <c r="AT42" s="238"/>
      <c r="AU42" s="238"/>
      <c r="AV42" s="238"/>
      <c r="AW42" s="327"/>
      <c r="AX42" s="277"/>
      <c r="AY42" s="277"/>
      <c r="AZ42" s="277"/>
      <c r="BA42" s="277"/>
      <c r="BB42" s="277"/>
      <c r="BC42" s="277"/>
      <c r="BD42" s="277"/>
      <c r="BE42" s="277"/>
      <c r="BF42" s="351"/>
      <c r="BG42" s="238"/>
      <c r="BH42" s="238"/>
      <c r="BI42" s="238"/>
      <c r="BJ42" s="238"/>
      <c r="BK42" s="238"/>
      <c r="BL42" s="238"/>
      <c r="BM42" s="238"/>
      <c r="BN42" s="238"/>
      <c r="BO42" s="238"/>
      <c r="BP42" s="238"/>
      <c r="BQ42" s="238"/>
      <c r="BR42" s="238"/>
      <c r="BS42" s="238"/>
      <c r="BT42" s="238"/>
      <c r="BU42" s="238"/>
      <c r="BV42" s="238"/>
      <c r="BW42" s="238"/>
      <c r="BX42" s="238"/>
      <c r="BY42" s="238"/>
      <c r="BZ42" s="238"/>
      <c r="CA42" s="238"/>
      <c r="CB42" s="238"/>
      <c r="CC42" s="238"/>
      <c r="CD42" s="238"/>
      <c r="CE42" s="238"/>
      <c r="CF42" s="238"/>
      <c r="CG42" s="238"/>
      <c r="CH42" s="238"/>
      <c r="CI42" s="238"/>
      <c r="CJ42" s="399"/>
      <c r="CK42" s="401"/>
      <c r="CL42" s="238"/>
      <c r="CM42" s="238"/>
      <c r="CN42" s="238"/>
      <c r="CO42" s="238"/>
      <c r="CP42" s="238"/>
      <c r="CQ42" s="462"/>
      <c r="CR42" s="462"/>
      <c r="CS42" s="462"/>
      <c r="CT42" s="400"/>
    </row>
    <row r="43" spans="1:98">
      <c r="A43" s="246">
        <v>5</v>
      </c>
      <c r="B43" s="246" t="s">
        <v>1232</v>
      </c>
      <c r="C43" s="246" t="s">
        <v>1326</v>
      </c>
      <c r="D43" s="246" t="s">
        <v>1280</v>
      </c>
      <c r="E43" s="267">
        <v>46108</v>
      </c>
      <c r="F43" s="267">
        <v>46108</v>
      </c>
      <c r="G43" s="268">
        <v>1</v>
      </c>
      <c r="H43" s="246"/>
      <c r="I43" s="473"/>
      <c r="J43" s="473"/>
      <c r="K43" s="473"/>
      <c r="L43" s="473"/>
      <c r="M43" s="473"/>
      <c r="N43" s="473"/>
      <c r="O43" s="473"/>
      <c r="P43" s="473"/>
      <c r="Q43" s="473"/>
      <c r="R43" s="473"/>
      <c r="S43" s="473"/>
      <c r="T43" s="473"/>
      <c r="U43" s="473"/>
      <c r="V43" s="473"/>
      <c r="W43" s="473"/>
      <c r="X43" s="473"/>
      <c r="Y43" s="473"/>
      <c r="Z43" s="473"/>
      <c r="AA43" s="473"/>
      <c r="AB43" s="473"/>
      <c r="AC43" s="473"/>
      <c r="AD43" s="473"/>
      <c r="AE43" s="473"/>
      <c r="AF43" s="473"/>
      <c r="AG43" s="473"/>
      <c r="AH43" s="473"/>
      <c r="AI43" s="473"/>
      <c r="AJ43" s="473"/>
      <c r="AK43" s="473"/>
      <c r="AL43" s="473"/>
      <c r="AM43" s="404"/>
      <c r="AN43" s="238"/>
      <c r="AO43" s="238"/>
      <c r="AP43" s="238"/>
      <c r="AQ43" s="238"/>
      <c r="AR43" s="238"/>
      <c r="AS43" s="238"/>
      <c r="AT43" s="238"/>
      <c r="AU43" s="238"/>
      <c r="AV43" s="238"/>
      <c r="AW43" s="327"/>
      <c r="AX43" s="277"/>
      <c r="AY43" s="277"/>
      <c r="AZ43" s="277"/>
      <c r="BA43" s="277"/>
      <c r="BB43" s="277"/>
      <c r="BC43" s="277"/>
      <c r="BD43" s="277"/>
      <c r="BE43" s="277"/>
      <c r="BF43" s="351"/>
      <c r="BG43" s="238"/>
      <c r="BH43" s="238"/>
      <c r="BI43" s="238"/>
      <c r="BJ43" s="238"/>
      <c r="BK43" s="238"/>
      <c r="BL43" s="238"/>
      <c r="BM43" s="238"/>
      <c r="BN43" s="238"/>
      <c r="BO43" s="238"/>
      <c r="BP43" s="238"/>
      <c r="BQ43" s="238"/>
      <c r="BR43" s="238"/>
      <c r="BS43" s="238"/>
      <c r="BT43" s="238"/>
      <c r="BU43" s="238"/>
      <c r="BV43" s="238"/>
      <c r="BW43" s="238"/>
      <c r="BX43" s="238"/>
      <c r="BY43" s="238"/>
      <c r="BZ43" s="238"/>
      <c r="CA43" s="238"/>
      <c r="CB43" s="238"/>
      <c r="CC43" s="238"/>
      <c r="CD43" s="238"/>
      <c r="CE43" s="238"/>
      <c r="CF43" s="238"/>
      <c r="CG43" s="238"/>
      <c r="CH43" s="238"/>
      <c r="CI43" s="238"/>
      <c r="CJ43" s="399"/>
      <c r="CK43" s="402"/>
      <c r="CL43" s="403"/>
      <c r="CM43" s="403"/>
      <c r="CN43" s="403"/>
      <c r="CO43" s="403"/>
      <c r="CP43" s="403"/>
      <c r="CQ43" s="403"/>
      <c r="CR43" s="403"/>
      <c r="CS43" s="403"/>
      <c r="CT43" s="470"/>
    </row>
    <row r="44" spans="1:98" ht="14.45" hidden="1" customHeight="1">
      <c r="A44" s="330">
        <v>9</v>
      </c>
      <c r="B44" s="330" t="s">
        <v>1278</v>
      </c>
      <c r="C44" s="330" t="s">
        <v>1327</v>
      </c>
      <c r="D44" s="331" t="s">
        <v>1280</v>
      </c>
      <c r="E44" s="331" t="s">
        <v>1281</v>
      </c>
      <c r="F44" s="330"/>
      <c r="G44" s="331"/>
      <c r="H44" s="331"/>
      <c r="I44" s="499"/>
      <c r="J44" s="337"/>
      <c r="K44" s="337"/>
      <c r="L44" s="337"/>
      <c r="M44" s="339"/>
      <c r="N44" s="499"/>
      <c r="O44" s="337"/>
      <c r="P44" s="337"/>
      <c r="Q44" s="337"/>
      <c r="R44" s="339"/>
      <c r="S44" s="499"/>
      <c r="T44" s="337"/>
      <c r="U44" s="337"/>
      <c r="V44" s="337"/>
      <c r="W44" s="338"/>
      <c r="X44" s="499"/>
      <c r="Y44" s="337"/>
      <c r="Z44" s="337"/>
      <c r="AA44" s="337"/>
      <c r="AB44" s="338"/>
      <c r="AC44" s="336"/>
      <c r="AD44" s="337"/>
      <c r="AE44" s="337"/>
      <c r="AF44" s="337"/>
      <c r="AG44" s="338"/>
      <c r="AH44" s="336"/>
      <c r="AI44" s="337"/>
      <c r="AJ44" s="337"/>
      <c r="AK44" s="337"/>
      <c r="AL44" s="339"/>
      <c r="AM44" s="350"/>
      <c r="AN44" s="350"/>
      <c r="AO44" s="350"/>
      <c r="AP44" s="350"/>
      <c r="AQ44" s="350"/>
      <c r="AR44" s="350"/>
      <c r="AS44" s="350"/>
      <c r="AT44" s="350"/>
      <c r="AU44" s="350"/>
      <c r="AV44" s="350"/>
    </row>
    <row r="45" spans="1:98" hidden="1">
      <c r="A45" s="246">
        <v>9</v>
      </c>
      <c r="B45" s="246" t="s">
        <v>1232</v>
      </c>
      <c r="C45" s="246" t="s">
        <v>1328</v>
      </c>
      <c r="D45" s="246" t="s">
        <v>1280</v>
      </c>
      <c r="E45" s="246"/>
      <c r="F45" s="268"/>
      <c r="G45" s="246"/>
      <c r="H45" s="246"/>
      <c r="I45" s="296"/>
      <c r="J45" s="294"/>
      <c r="K45" s="294"/>
      <c r="L45" s="294"/>
      <c r="M45" s="312"/>
      <c r="N45" s="296"/>
      <c r="O45" s="294"/>
      <c r="P45" s="294"/>
      <c r="Q45" s="294"/>
      <c r="R45" s="312"/>
      <c r="S45" s="296"/>
      <c r="T45" s="294"/>
      <c r="U45" s="294"/>
      <c r="V45" s="294"/>
      <c r="W45" s="295"/>
      <c r="X45" s="296"/>
      <c r="Y45" s="294"/>
      <c r="Z45" s="294"/>
      <c r="AA45" s="294"/>
      <c r="AB45" s="295"/>
      <c r="AC45" s="292"/>
      <c r="AD45" s="294"/>
      <c r="AE45" s="294"/>
      <c r="AF45" s="294"/>
      <c r="AG45" s="295"/>
      <c r="AH45" s="292"/>
      <c r="AI45" s="294"/>
      <c r="AJ45" s="294"/>
      <c r="AK45" s="294"/>
      <c r="AL45" s="312"/>
      <c r="AM45" s="277"/>
      <c r="AN45" s="277"/>
      <c r="AO45" s="277"/>
      <c r="AP45" s="277"/>
      <c r="AQ45" s="277"/>
      <c r="AR45" s="277"/>
      <c r="AS45" s="277"/>
      <c r="AT45" s="277"/>
      <c r="AU45" s="277"/>
      <c r="AV45" s="277"/>
    </row>
    <row r="46" spans="1:98" hidden="1">
      <c r="A46" s="246">
        <v>9</v>
      </c>
      <c r="B46" s="246" t="s">
        <v>1232</v>
      </c>
      <c r="C46" s="246" t="s">
        <v>1329</v>
      </c>
      <c r="D46" s="246" t="s">
        <v>1280</v>
      </c>
      <c r="E46" s="246"/>
      <c r="F46" s="268"/>
      <c r="G46" s="246"/>
      <c r="H46" s="246"/>
      <c r="I46" s="296"/>
      <c r="J46" s="294"/>
      <c r="K46" s="294"/>
      <c r="L46" s="294"/>
      <c r="M46" s="312"/>
      <c r="N46" s="296"/>
      <c r="O46" s="294"/>
      <c r="P46" s="294"/>
      <c r="Q46" s="294"/>
      <c r="R46" s="312"/>
      <c r="S46" s="296"/>
      <c r="T46" s="294"/>
      <c r="U46" s="294"/>
      <c r="V46" s="294"/>
      <c r="W46" s="295"/>
      <c r="X46" s="296"/>
      <c r="Y46" s="294"/>
      <c r="Z46" s="294"/>
      <c r="AA46" s="294"/>
      <c r="AB46" s="295"/>
      <c r="AC46" s="292"/>
      <c r="AD46" s="294"/>
      <c r="AE46" s="294"/>
      <c r="AF46" s="294"/>
      <c r="AG46" s="295"/>
      <c r="AH46" s="292"/>
      <c r="AI46" s="294"/>
      <c r="AJ46" s="294"/>
      <c r="AK46" s="294"/>
      <c r="AL46" s="312"/>
      <c r="AM46" s="277"/>
      <c r="AN46" s="277"/>
      <c r="AO46" s="277"/>
      <c r="AP46" s="277"/>
      <c r="AQ46" s="277"/>
      <c r="AR46" s="277"/>
      <c r="AS46" s="277"/>
      <c r="AT46" s="277"/>
      <c r="AU46" s="277"/>
      <c r="AV46" s="277"/>
    </row>
    <row r="47" spans="1:98" hidden="1">
      <c r="A47" s="246">
        <v>9</v>
      </c>
      <c r="B47" s="246" t="s">
        <v>1232</v>
      </c>
      <c r="C47" s="246" t="s">
        <v>1330</v>
      </c>
      <c r="D47" s="246" t="s">
        <v>1280</v>
      </c>
      <c r="E47" s="246"/>
      <c r="F47" s="268"/>
      <c r="G47" s="246"/>
      <c r="H47" s="246"/>
      <c r="I47" s="296"/>
      <c r="J47" s="294"/>
      <c r="K47" s="294"/>
      <c r="L47" s="294"/>
      <c r="M47" s="312"/>
      <c r="N47" s="296"/>
      <c r="O47" s="294"/>
      <c r="P47" s="294"/>
      <c r="Q47" s="294"/>
      <c r="R47" s="312"/>
      <c r="S47" s="296"/>
      <c r="T47" s="294"/>
      <c r="U47" s="294"/>
      <c r="V47" s="294"/>
      <c r="W47" s="295"/>
      <c r="X47" s="296"/>
      <c r="Y47" s="294"/>
      <c r="Z47" s="294"/>
      <c r="AA47" s="294"/>
      <c r="AB47" s="295"/>
      <c r="AC47" s="292"/>
      <c r="AD47" s="294"/>
      <c r="AE47" s="294"/>
      <c r="AF47" s="294"/>
      <c r="AG47" s="295"/>
      <c r="AH47" s="292"/>
      <c r="AI47" s="294"/>
      <c r="AJ47" s="294"/>
      <c r="AK47" s="294"/>
      <c r="AL47" s="312"/>
      <c r="AM47" s="277"/>
      <c r="AN47" s="277"/>
      <c r="AO47" s="277"/>
      <c r="AP47" s="277"/>
      <c r="AQ47" s="277"/>
      <c r="AR47" s="277"/>
      <c r="AS47" s="277"/>
      <c r="AT47" s="277"/>
      <c r="AU47" s="277"/>
      <c r="AV47" s="277"/>
    </row>
    <row r="48" spans="1:98" hidden="1">
      <c r="A48" s="246">
        <v>9</v>
      </c>
      <c r="B48" s="246" t="s">
        <v>1232</v>
      </c>
      <c r="C48" s="246" t="s">
        <v>1331</v>
      </c>
      <c r="D48" s="246" t="s">
        <v>1280</v>
      </c>
      <c r="E48" s="246"/>
      <c r="F48" s="268"/>
      <c r="G48" s="246"/>
      <c r="H48" s="246"/>
      <c r="I48" s="296"/>
      <c r="J48" s="294"/>
      <c r="K48" s="294"/>
      <c r="L48" s="294"/>
      <c r="M48" s="312"/>
      <c r="N48" s="296"/>
      <c r="O48" s="294"/>
      <c r="P48" s="294"/>
      <c r="Q48" s="294"/>
      <c r="R48" s="312"/>
      <c r="S48" s="296"/>
      <c r="T48" s="294"/>
      <c r="U48" s="294"/>
      <c r="V48" s="294"/>
      <c r="W48" s="295"/>
      <c r="X48" s="296"/>
      <c r="Y48" s="294"/>
      <c r="Z48" s="294"/>
      <c r="AA48" s="294"/>
      <c r="AB48" s="295"/>
      <c r="AC48" s="292"/>
      <c r="AD48" s="294"/>
      <c r="AE48" s="294"/>
      <c r="AF48" s="294"/>
      <c r="AG48" s="295"/>
      <c r="AH48" s="292"/>
      <c r="AI48" s="294"/>
      <c r="AJ48" s="294"/>
      <c r="AK48" s="294"/>
      <c r="AL48" s="312"/>
      <c r="AM48" s="277"/>
      <c r="AN48" s="277"/>
      <c r="AO48" s="277"/>
      <c r="AP48" s="277"/>
      <c r="AQ48" s="277"/>
      <c r="AR48" s="277"/>
      <c r="AS48" s="277"/>
      <c r="AT48" s="277"/>
      <c r="AU48" s="277"/>
      <c r="AV48" s="277"/>
    </row>
    <row r="49" spans="1:48" ht="14.45" hidden="1" customHeight="1">
      <c r="A49" s="330">
        <v>10</v>
      </c>
      <c r="B49" s="330" t="s">
        <v>1278</v>
      </c>
      <c r="C49" s="330" t="s">
        <v>1332</v>
      </c>
      <c r="D49" s="331" t="s">
        <v>1280</v>
      </c>
      <c r="E49" s="331" t="s">
        <v>1281</v>
      </c>
      <c r="F49" s="330"/>
      <c r="G49" s="331"/>
      <c r="H49" s="331"/>
      <c r="I49" s="332"/>
      <c r="J49" s="333"/>
      <c r="K49" s="333"/>
      <c r="L49" s="333"/>
      <c r="M49" s="334"/>
      <c r="N49" s="332"/>
      <c r="O49" s="333"/>
      <c r="P49" s="333"/>
      <c r="Q49" s="333"/>
      <c r="R49" s="334"/>
      <c r="S49" s="332"/>
      <c r="T49" s="333"/>
      <c r="U49" s="333"/>
      <c r="V49" s="333"/>
      <c r="W49" s="335"/>
      <c r="X49" s="332"/>
      <c r="Y49" s="333"/>
      <c r="Z49" s="333"/>
      <c r="AA49" s="333"/>
      <c r="AB49" s="335"/>
      <c r="AC49" s="349"/>
      <c r="AD49" s="333"/>
      <c r="AE49" s="333"/>
      <c r="AF49" s="333"/>
      <c r="AG49" s="335"/>
      <c r="AH49" s="349"/>
      <c r="AI49" s="333"/>
      <c r="AJ49" s="333"/>
      <c r="AK49" s="333"/>
      <c r="AL49" s="334"/>
      <c r="AM49" s="340"/>
      <c r="AN49" s="340"/>
      <c r="AO49" s="340"/>
      <c r="AP49" s="340"/>
      <c r="AQ49" s="340"/>
      <c r="AR49" s="340"/>
      <c r="AS49" s="340"/>
      <c r="AT49" s="340"/>
      <c r="AU49" s="340"/>
      <c r="AV49" s="340"/>
    </row>
    <row r="50" spans="1:48" hidden="1">
      <c r="A50" s="354">
        <v>10</v>
      </c>
      <c r="B50" s="246" t="s">
        <v>1232</v>
      </c>
      <c r="C50" s="246" t="s">
        <v>1333</v>
      </c>
      <c r="D50" s="246" t="s">
        <v>1280</v>
      </c>
      <c r="E50" s="246"/>
      <c r="F50" s="268"/>
      <c r="G50" s="246"/>
      <c r="H50" s="246"/>
      <c r="I50" s="296"/>
      <c r="J50" s="294"/>
      <c r="K50" s="294"/>
      <c r="L50" s="294"/>
      <c r="M50" s="312"/>
      <c r="N50" s="296"/>
      <c r="O50" s="294"/>
      <c r="P50" s="294"/>
      <c r="Q50" s="294"/>
      <c r="R50" s="312"/>
      <c r="S50" s="296"/>
      <c r="T50" s="294"/>
      <c r="U50" s="294"/>
      <c r="V50" s="294"/>
      <c r="W50" s="295"/>
      <c r="X50" s="296"/>
      <c r="Y50" s="294"/>
      <c r="Z50" s="294"/>
      <c r="AA50" s="294"/>
      <c r="AB50" s="295"/>
      <c r="AC50" s="292"/>
      <c r="AD50" s="294"/>
      <c r="AE50" s="294"/>
      <c r="AF50" s="294"/>
      <c r="AG50" s="295"/>
      <c r="AH50" s="292"/>
      <c r="AI50" s="294"/>
      <c r="AJ50" s="294"/>
      <c r="AK50" s="294"/>
      <c r="AL50" s="312"/>
      <c r="AM50" s="277"/>
      <c r="AN50" s="277"/>
      <c r="AO50" s="277"/>
      <c r="AP50" s="277"/>
      <c r="AQ50" s="277"/>
      <c r="AR50" s="277"/>
      <c r="AS50" s="277"/>
      <c r="AT50" s="277"/>
      <c r="AU50" s="277"/>
      <c r="AV50" s="277"/>
    </row>
    <row r="51" spans="1:48" hidden="1">
      <c r="A51" s="354">
        <v>10</v>
      </c>
      <c r="B51" s="246" t="s">
        <v>1232</v>
      </c>
      <c r="C51" s="246" t="s">
        <v>1334</v>
      </c>
      <c r="D51" s="246" t="s">
        <v>1280</v>
      </c>
      <c r="E51" s="246"/>
      <c r="F51" s="268"/>
      <c r="G51" s="246"/>
      <c r="H51" s="246"/>
      <c r="I51" s="296"/>
      <c r="J51" s="294"/>
      <c r="K51" s="294"/>
      <c r="L51" s="294"/>
      <c r="M51" s="312"/>
      <c r="N51" s="296"/>
      <c r="O51" s="294"/>
      <c r="P51" s="294"/>
      <c r="Q51" s="294"/>
      <c r="R51" s="312"/>
      <c r="S51" s="296"/>
      <c r="T51" s="294"/>
      <c r="U51" s="294"/>
      <c r="V51" s="294"/>
      <c r="W51" s="295"/>
      <c r="X51" s="296"/>
      <c r="Y51" s="294"/>
      <c r="Z51" s="294"/>
      <c r="AA51" s="294"/>
      <c r="AB51" s="295"/>
      <c r="AC51" s="292"/>
      <c r="AD51" s="294"/>
      <c r="AE51" s="294"/>
      <c r="AF51" s="294"/>
      <c r="AG51" s="295"/>
      <c r="AH51" s="292"/>
      <c r="AI51" s="294"/>
      <c r="AJ51" s="294"/>
      <c r="AK51" s="294"/>
      <c r="AL51" s="312"/>
      <c r="AM51" s="277"/>
      <c r="AN51" s="277"/>
      <c r="AO51" s="277"/>
      <c r="AP51" s="277"/>
      <c r="AQ51" s="277"/>
      <c r="AR51" s="277"/>
      <c r="AS51" s="277"/>
      <c r="AT51" s="277"/>
      <c r="AU51" s="277"/>
      <c r="AV51" s="277"/>
    </row>
    <row r="52" spans="1:48" hidden="1">
      <c r="A52" s="354">
        <v>10</v>
      </c>
      <c r="B52" s="246" t="s">
        <v>1232</v>
      </c>
      <c r="C52" s="246" t="s">
        <v>1335</v>
      </c>
      <c r="D52" s="246" t="s">
        <v>1280</v>
      </c>
      <c r="E52" s="246"/>
      <c r="F52" s="268"/>
      <c r="G52" s="246"/>
      <c r="H52" s="246"/>
      <c r="I52" s="296"/>
      <c r="J52" s="294"/>
      <c r="K52" s="294"/>
      <c r="L52" s="294"/>
      <c r="M52" s="312"/>
      <c r="N52" s="296"/>
      <c r="O52" s="294"/>
      <c r="P52" s="294"/>
      <c r="Q52" s="294"/>
      <c r="R52" s="312"/>
      <c r="S52" s="296"/>
      <c r="T52" s="294"/>
      <c r="U52" s="294"/>
      <c r="V52" s="294"/>
      <c r="W52" s="295"/>
      <c r="X52" s="296"/>
      <c r="Y52" s="294"/>
      <c r="Z52" s="294"/>
      <c r="AA52" s="294"/>
      <c r="AB52" s="295"/>
      <c r="AC52" s="292"/>
      <c r="AD52" s="294"/>
      <c r="AE52" s="294"/>
      <c r="AF52" s="294"/>
      <c r="AG52" s="295"/>
      <c r="AH52" s="292"/>
      <c r="AI52" s="294"/>
      <c r="AJ52" s="294"/>
      <c r="AK52" s="294"/>
      <c r="AL52" s="312"/>
      <c r="AM52" s="277"/>
      <c r="AN52" s="277"/>
      <c r="AO52" s="277"/>
      <c r="AP52" s="277"/>
      <c r="AQ52" s="277"/>
      <c r="AR52" s="277"/>
      <c r="AS52" s="277"/>
      <c r="AT52" s="277"/>
      <c r="AU52" s="277"/>
      <c r="AV52" s="277"/>
    </row>
    <row r="53" spans="1:48" hidden="1">
      <c r="A53" s="354">
        <v>10</v>
      </c>
      <c r="B53" s="246" t="s">
        <v>1232</v>
      </c>
      <c r="C53" s="246" t="s">
        <v>1336</v>
      </c>
      <c r="D53" s="246" t="s">
        <v>1280</v>
      </c>
      <c r="E53" s="246"/>
      <c r="F53" s="268"/>
      <c r="G53" s="246"/>
      <c r="H53" s="246"/>
      <c r="I53" s="296"/>
      <c r="J53" s="294"/>
      <c r="K53" s="294"/>
      <c r="L53" s="294"/>
      <c r="M53" s="312"/>
      <c r="N53" s="296"/>
      <c r="O53" s="294"/>
      <c r="P53" s="294"/>
      <c r="Q53" s="294"/>
      <c r="R53" s="312"/>
      <c r="S53" s="296"/>
      <c r="T53" s="294"/>
      <c r="U53" s="294"/>
      <c r="V53" s="294"/>
      <c r="W53" s="295"/>
      <c r="X53" s="296"/>
      <c r="Y53" s="294"/>
      <c r="Z53" s="294"/>
      <c r="AA53" s="294"/>
      <c r="AB53" s="295"/>
      <c r="AC53" s="292"/>
      <c r="AD53" s="294"/>
      <c r="AE53" s="294"/>
      <c r="AF53" s="294"/>
      <c r="AG53" s="295"/>
      <c r="AH53" s="292"/>
      <c r="AI53" s="294"/>
      <c r="AJ53" s="294"/>
      <c r="AK53" s="294"/>
      <c r="AL53" s="312"/>
      <c r="AM53" s="277"/>
      <c r="AN53" s="277"/>
      <c r="AO53" s="277"/>
      <c r="AP53" s="277"/>
      <c r="AQ53" s="277"/>
      <c r="AR53" s="277"/>
      <c r="AS53" s="277"/>
      <c r="AT53" s="277"/>
      <c r="AU53" s="277"/>
      <c r="AV53" s="277"/>
    </row>
    <row r="54" spans="1:48" ht="14.45" hidden="1" customHeight="1">
      <c r="A54" s="330">
        <v>11</v>
      </c>
      <c r="B54" s="330" t="s">
        <v>1278</v>
      </c>
      <c r="C54" s="330" t="s">
        <v>1337</v>
      </c>
      <c r="D54" s="331" t="s">
        <v>1280</v>
      </c>
      <c r="E54" s="331" t="s">
        <v>1281</v>
      </c>
      <c r="F54" s="330"/>
      <c r="G54" s="331"/>
      <c r="H54" s="331"/>
      <c r="I54" s="332"/>
      <c r="J54" s="333"/>
      <c r="K54" s="333"/>
      <c r="L54" s="333"/>
      <c r="M54" s="334"/>
      <c r="N54" s="332"/>
      <c r="O54" s="333"/>
      <c r="P54" s="333"/>
      <c r="Q54" s="333"/>
      <c r="R54" s="334"/>
      <c r="S54" s="332"/>
      <c r="T54" s="333"/>
      <c r="U54" s="333"/>
      <c r="V54" s="333"/>
      <c r="W54" s="335"/>
      <c r="X54" s="332"/>
      <c r="Y54" s="333"/>
      <c r="Z54" s="333"/>
      <c r="AA54" s="333"/>
      <c r="AB54" s="335"/>
      <c r="AC54" s="349"/>
      <c r="AD54" s="333"/>
      <c r="AE54" s="333"/>
      <c r="AF54" s="333"/>
      <c r="AG54" s="335"/>
      <c r="AH54" s="349"/>
      <c r="AI54" s="333"/>
      <c r="AJ54" s="333"/>
      <c r="AK54" s="333"/>
      <c r="AL54" s="334"/>
      <c r="AM54" s="340"/>
      <c r="AN54" s="340"/>
      <c r="AO54" s="340"/>
      <c r="AP54" s="340"/>
      <c r="AQ54" s="340"/>
      <c r="AR54" s="340"/>
      <c r="AS54" s="340"/>
      <c r="AT54" s="340"/>
      <c r="AU54" s="340"/>
      <c r="AV54" s="340"/>
    </row>
    <row r="55" spans="1:48" hidden="1">
      <c r="A55" s="354">
        <v>11</v>
      </c>
      <c r="B55" s="246" t="s">
        <v>1232</v>
      </c>
      <c r="C55" s="246" t="s">
        <v>1338</v>
      </c>
      <c r="D55" s="246" t="s">
        <v>1280</v>
      </c>
      <c r="E55" s="246"/>
      <c r="F55" s="268"/>
      <c r="G55" s="246"/>
      <c r="H55" s="246"/>
      <c r="I55" s="296"/>
      <c r="J55" s="294"/>
      <c r="K55" s="294"/>
      <c r="L55" s="294"/>
      <c r="M55" s="312"/>
      <c r="N55" s="296"/>
      <c r="O55" s="294"/>
      <c r="P55" s="294"/>
      <c r="Q55" s="294"/>
      <c r="R55" s="312"/>
      <c r="S55" s="296"/>
      <c r="T55" s="294"/>
      <c r="U55" s="294"/>
      <c r="V55" s="294"/>
      <c r="W55" s="295"/>
      <c r="X55" s="296"/>
      <c r="Y55" s="294"/>
      <c r="Z55" s="294"/>
      <c r="AA55" s="294"/>
      <c r="AB55" s="295"/>
      <c r="AC55" s="292"/>
      <c r="AD55" s="294"/>
      <c r="AE55" s="294"/>
      <c r="AF55" s="294"/>
      <c r="AG55" s="295"/>
      <c r="AH55" s="292"/>
      <c r="AI55" s="294"/>
      <c r="AJ55" s="294"/>
      <c r="AK55" s="294"/>
      <c r="AL55" s="312"/>
      <c r="AM55" s="277"/>
      <c r="AN55" s="277"/>
      <c r="AO55" s="277"/>
      <c r="AP55" s="277"/>
      <c r="AQ55" s="277"/>
      <c r="AR55" s="277"/>
      <c r="AS55" s="277"/>
      <c r="AT55" s="277"/>
      <c r="AU55" s="277"/>
      <c r="AV55" s="277"/>
    </row>
    <row r="56" spans="1:48" hidden="1">
      <c r="A56" s="354">
        <v>11</v>
      </c>
      <c r="B56" s="246" t="s">
        <v>1232</v>
      </c>
      <c r="C56" s="246" t="s">
        <v>1334</v>
      </c>
      <c r="D56" s="246" t="s">
        <v>1280</v>
      </c>
      <c r="E56" s="246"/>
      <c r="F56" s="268"/>
      <c r="G56" s="246"/>
      <c r="H56" s="246"/>
      <c r="I56" s="296"/>
      <c r="J56" s="294"/>
      <c r="K56" s="294"/>
      <c r="L56" s="294"/>
      <c r="M56" s="312"/>
      <c r="N56" s="296"/>
      <c r="O56" s="294"/>
      <c r="P56" s="294"/>
      <c r="Q56" s="294"/>
      <c r="R56" s="312"/>
      <c r="S56" s="296"/>
      <c r="T56" s="294"/>
      <c r="U56" s="294"/>
      <c r="V56" s="294"/>
      <c r="W56" s="295"/>
      <c r="X56" s="296"/>
      <c r="Y56" s="294"/>
      <c r="Z56" s="294"/>
      <c r="AA56" s="294"/>
      <c r="AB56" s="295"/>
      <c r="AC56" s="292"/>
      <c r="AD56" s="294"/>
      <c r="AE56" s="294"/>
      <c r="AF56" s="294"/>
      <c r="AG56" s="295"/>
      <c r="AH56" s="292"/>
      <c r="AI56" s="294"/>
      <c r="AJ56" s="294"/>
      <c r="AK56" s="294"/>
      <c r="AL56" s="312"/>
      <c r="AM56" s="277"/>
      <c r="AN56" s="277"/>
      <c r="AO56" s="277"/>
      <c r="AP56" s="277"/>
      <c r="AQ56" s="277"/>
      <c r="AR56" s="277"/>
      <c r="AS56" s="277"/>
      <c r="AT56" s="277"/>
      <c r="AU56" s="277"/>
      <c r="AV56" s="277"/>
    </row>
    <row r="57" spans="1:48" hidden="1">
      <c r="A57" s="354">
        <v>11</v>
      </c>
      <c r="B57" s="246" t="s">
        <v>1232</v>
      </c>
      <c r="C57" s="246" t="s">
        <v>1339</v>
      </c>
      <c r="D57" s="246" t="s">
        <v>1280</v>
      </c>
      <c r="E57" s="246"/>
      <c r="F57" s="268"/>
      <c r="G57" s="246"/>
      <c r="H57" s="246"/>
      <c r="I57" s="296"/>
      <c r="J57" s="294"/>
      <c r="K57" s="294"/>
      <c r="L57" s="294"/>
      <c r="M57" s="312"/>
      <c r="N57" s="296"/>
      <c r="O57" s="294"/>
      <c r="P57" s="294"/>
      <c r="Q57" s="294"/>
      <c r="R57" s="312"/>
      <c r="S57" s="296"/>
      <c r="T57" s="294"/>
      <c r="U57" s="294"/>
      <c r="V57" s="294"/>
      <c r="W57" s="295"/>
      <c r="X57" s="296"/>
      <c r="Y57" s="294"/>
      <c r="Z57" s="294"/>
      <c r="AA57" s="294"/>
      <c r="AB57" s="295"/>
      <c r="AC57" s="292"/>
      <c r="AD57" s="294"/>
      <c r="AE57" s="294"/>
      <c r="AF57" s="294"/>
      <c r="AG57" s="295"/>
      <c r="AH57" s="292"/>
      <c r="AI57" s="294"/>
      <c r="AJ57" s="294"/>
      <c r="AK57" s="294"/>
      <c r="AL57" s="312"/>
      <c r="AM57" s="277"/>
      <c r="AN57" s="277"/>
      <c r="AO57" s="277"/>
      <c r="AP57" s="277"/>
      <c r="AQ57" s="277"/>
      <c r="AR57" s="277"/>
      <c r="AS57" s="277"/>
      <c r="AT57" s="277"/>
      <c r="AU57" s="277"/>
      <c r="AV57" s="277"/>
    </row>
    <row r="58" spans="1:48" hidden="1">
      <c r="A58" s="354">
        <v>11</v>
      </c>
      <c r="B58" s="246" t="s">
        <v>1232</v>
      </c>
      <c r="C58" s="246" t="s">
        <v>1335</v>
      </c>
      <c r="D58" s="246" t="s">
        <v>1280</v>
      </c>
      <c r="E58" s="246"/>
      <c r="F58" s="268"/>
      <c r="G58" s="246"/>
      <c r="H58" s="246"/>
      <c r="I58" s="296"/>
      <c r="J58" s="294"/>
      <c r="K58" s="294"/>
      <c r="L58" s="294"/>
      <c r="M58" s="312"/>
      <c r="N58" s="296"/>
      <c r="O58" s="294"/>
      <c r="P58" s="294"/>
      <c r="Q58" s="294"/>
      <c r="R58" s="312"/>
      <c r="S58" s="296"/>
      <c r="T58" s="294"/>
      <c r="U58" s="294"/>
      <c r="V58" s="294"/>
      <c r="W58" s="295"/>
      <c r="X58" s="296"/>
      <c r="Y58" s="294"/>
      <c r="Z58" s="294"/>
      <c r="AA58" s="294"/>
      <c r="AB58" s="295"/>
      <c r="AC58" s="292"/>
      <c r="AD58" s="294"/>
      <c r="AE58" s="294"/>
      <c r="AF58" s="294"/>
      <c r="AG58" s="295"/>
      <c r="AH58" s="292"/>
      <c r="AI58" s="294"/>
      <c r="AJ58" s="294"/>
      <c r="AK58" s="294"/>
      <c r="AL58" s="312"/>
      <c r="AM58" s="277"/>
      <c r="AN58" s="277"/>
      <c r="AO58" s="277"/>
      <c r="AP58" s="277"/>
      <c r="AQ58" s="277"/>
      <c r="AR58" s="277"/>
      <c r="AS58" s="277"/>
      <c r="AT58" s="277"/>
      <c r="AU58" s="277"/>
      <c r="AV58" s="277"/>
    </row>
    <row r="59" spans="1:48" hidden="1">
      <c r="A59" s="354">
        <v>11</v>
      </c>
      <c r="B59" s="246" t="s">
        <v>1232</v>
      </c>
      <c r="C59" s="246" t="s">
        <v>1340</v>
      </c>
      <c r="D59" s="246" t="s">
        <v>1280</v>
      </c>
      <c r="E59" s="246"/>
      <c r="F59" s="268"/>
      <c r="G59" s="246"/>
      <c r="H59" s="246"/>
      <c r="I59" s="296"/>
      <c r="J59" s="294"/>
      <c r="K59" s="294"/>
      <c r="L59" s="294"/>
      <c r="M59" s="312"/>
      <c r="N59" s="296"/>
      <c r="O59" s="294"/>
      <c r="P59" s="294"/>
      <c r="Q59" s="294"/>
      <c r="R59" s="312"/>
      <c r="S59" s="296"/>
      <c r="T59" s="294"/>
      <c r="U59" s="294"/>
      <c r="V59" s="294"/>
      <c r="W59" s="295"/>
      <c r="X59" s="296"/>
      <c r="Y59" s="294"/>
      <c r="Z59" s="294"/>
      <c r="AA59" s="294"/>
      <c r="AB59" s="295"/>
      <c r="AC59" s="292"/>
      <c r="AD59" s="294"/>
      <c r="AE59" s="294"/>
      <c r="AF59" s="294"/>
      <c r="AG59" s="295"/>
      <c r="AH59" s="292"/>
      <c r="AI59" s="294"/>
      <c r="AJ59" s="294"/>
      <c r="AK59" s="294"/>
      <c r="AL59" s="312"/>
      <c r="AM59" s="277"/>
      <c r="AN59" s="277"/>
      <c r="AO59" s="277"/>
      <c r="AP59" s="277"/>
      <c r="AQ59" s="277"/>
      <c r="AR59" s="277"/>
      <c r="AS59" s="277"/>
      <c r="AT59" s="277"/>
      <c r="AU59" s="277"/>
      <c r="AV59" s="277"/>
    </row>
    <row r="60" spans="1:48" ht="14.45" hidden="1" customHeight="1">
      <c r="A60" s="330">
        <v>12</v>
      </c>
      <c r="B60" s="330" t="s">
        <v>1278</v>
      </c>
      <c r="C60" s="330" t="s">
        <v>1341</v>
      </c>
      <c r="D60" s="331" t="s">
        <v>1280</v>
      </c>
      <c r="E60" s="331" t="s">
        <v>1281</v>
      </c>
      <c r="F60" s="330"/>
      <c r="G60" s="331"/>
      <c r="H60" s="331"/>
      <c r="I60" s="332"/>
      <c r="J60" s="333"/>
      <c r="K60" s="333"/>
      <c r="L60" s="333"/>
      <c r="M60" s="334"/>
      <c r="N60" s="332"/>
      <c r="O60" s="333"/>
      <c r="P60" s="333"/>
      <c r="Q60" s="333"/>
      <c r="R60" s="334"/>
      <c r="S60" s="332"/>
      <c r="T60" s="333"/>
      <c r="U60" s="333"/>
      <c r="V60" s="333"/>
      <c r="W60" s="335"/>
      <c r="X60" s="332"/>
      <c r="Y60" s="333"/>
      <c r="Z60" s="333"/>
      <c r="AA60" s="333"/>
      <c r="AB60" s="335"/>
      <c r="AC60" s="349"/>
      <c r="AD60" s="333"/>
      <c r="AE60" s="333"/>
      <c r="AF60" s="333"/>
      <c r="AG60" s="335"/>
      <c r="AH60" s="349"/>
      <c r="AI60" s="333"/>
      <c r="AJ60" s="333"/>
      <c r="AK60" s="333"/>
      <c r="AL60" s="334"/>
      <c r="AM60" s="340"/>
      <c r="AN60" s="340"/>
      <c r="AO60" s="340"/>
      <c r="AP60" s="340"/>
      <c r="AQ60" s="340"/>
      <c r="AR60" s="340"/>
      <c r="AS60" s="340"/>
      <c r="AT60" s="340"/>
      <c r="AU60" s="340"/>
      <c r="AV60" s="340"/>
    </row>
    <row r="61" spans="1:48" hidden="1">
      <c r="A61" s="246">
        <v>12</v>
      </c>
      <c r="B61" s="246" t="s">
        <v>1232</v>
      </c>
      <c r="C61" s="246" t="s">
        <v>1339</v>
      </c>
      <c r="D61" s="246" t="s">
        <v>1280</v>
      </c>
      <c r="E61" s="246"/>
      <c r="F61" s="268"/>
      <c r="G61" s="246"/>
      <c r="H61" s="246"/>
      <c r="I61" s="296"/>
      <c r="J61" s="294"/>
      <c r="K61" s="294"/>
      <c r="L61" s="294"/>
      <c r="M61" s="312"/>
      <c r="N61" s="296"/>
      <c r="O61" s="294"/>
      <c r="P61" s="294"/>
      <c r="Q61" s="294"/>
      <c r="R61" s="312"/>
      <c r="S61" s="296"/>
      <c r="T61" s="294"/>
      <c r="U61" s="294"/>
      <c r="V61" s="294"/>
      <c r="W61" s="295"/>
      <c r="X61" s="296"/>
      <c r="Y61" s="294"/>
      <c r="Z61" s="294"/>
      <c r="AA61" s="294"/>
      <c r="AB61" s="295"/>
      <c r="AC61" s="292"/>
      <c r="AD61" s="294"/>
      <c r="AE61" s="294"/>
      <c r="AF61" s="294"/>
      <c r="AG61" s="295"/>
      <c r="AH61" s="292"/>
      <c r="AI61" s="294"/>
      <c r="AJ61" s="294"/>
      <c r="AK61" s="294"/>
      <c r="AL61" s="312"/>
      <c r="AM61" s="277"/>
      <c r="AN61" s="277"/>
      <c r="AO61" s="277"/>
      <c r="AP61" s="277"/>
      <c r="AQ61" s="277"/>
      <c r="AR61" s="277"/>
      <c r="AS61" s="277"/>
      <c r="AT61" s="277"/>
      <c r="AU61" s="277"/>
      <c r="AV61" s="277"/>
    </row>
    <row r="62" spans="1:48" hidden="1">
      <c r="A62" s="246">
        <v>12</v>
      </c>
      <c r="B62" s="246" t="s">
        <v>1232</v>
      </c>
      <c r="C62" s="246" t="s">
        <v>1335</v>
      </c>
      <c r="D62" s="246" t="s">
        <v>1280</v>
      </c>
      <c r="E62" s="246"/>
      <c r="F62" s="268"/>
      <c r="G62" s="246"/>
      <c r="H62" s="246"/>
      <c r="I62" s="296"/>
      <c r="J62" s="294"/>
      <c r="K62" s="294"/>
      <c r="L62" s="294"/>
      <c r="M62" s="312"/>
      <c r="N62" s="296"/>
      <c r="O62" s="294"/>
      <c r="P62" s="294"/>
      <c r="Q62" s="294"/>
      <c r="R62" s="312"/>
      <c r="S62" s="296"/>
      <c r="T62" s="294"/>
      <c r="U62" s="294"/>
      <c r="V62" s="294"/>
      <c r="W62" s="295"/>
      <c r="X62" s="296"/>
      <c r="Y62" s="294"/>
      <c r="Z62" s="294"/>
      <c r="AA62" s="294"/>
      <c r="AB62" s="295"/>
      <c r="AC62" s="292"/>
      <c r="AD62" s="294"/>
      <c r="AE62" s="294"/>
      <c r="AF62" s="294"/>
      <c r="AG62" s="295"/>
      <c r="AH62" s="292"/>
      <c r="AI62" s="294"/>
      <c r="AJ62" s="294"/>
      <c r="AK62" s="294"/>
      <c r="AL62" s="312"/>
      <c r="AM62" s="277"/>
      <c r="AN62" s="277"/>
      <c r="AO62" s="277"/>
      <c r="AP62" s="277"/>
      <c r="AQ62" s="277"/>
      <c r="AR62" s="277"/>
      <c r="AS62" s="277"/>
      <c r="AT62" s="277"/>
      <c r="AU62" s="277"/>
      <c r="AV62" s="277"/>
    </row>
    <row r="63" spans="1:48" hidden="1">
      <c r="A63" s="246">
        <v>12</v>
      </c>
      <c r="B63" s="246" t="s">
        <v>1232</v>
      </c>
      <c r="C63" s="246" t="s">
        <v>1342</v>
      </c>
      <c r="D63" s="246" t="s">
        <v>1280</v>
      </c>
      <c r="E63" s="246"/>
      <c r="F63" s="268"/>
      <c r="G63" s="246"/>
      <c r="H63" s="246"/>
      <c r="I63" s="296"/>
      <c r="J63" s="294"/>
      <c r="K63" s="294"/>
      <c r="L63" s="294"/>
      <c r="M63" s="312"/>
      <c r="N63" s="296"/>
      <c r="O63" s="294"/>
      <c r="P63" s="294"/>
      <c r="Q63" s="294"/>
      <c r="R63" s="312"/>
      <c r="S63" s="296"/>
      <c r="T63" s="294"/>
      <c r="U63" s="294"/>
      <c r="V63" s="294"/>
      <c r="W63" s="295"/>
      <c r="X63" s="296"/>
      <c r="Y63" s="294"/>
      <c r="Z63" s="294"/>
      <c r="AA63" s="294"/>
      <c r="AB63" s="295"/>
      <c r="AC63" s="292"/>
      <c r="AD63" s="294"/>
      <c r="AE63" s="294"/>
      <c r="AF63" s="294"/>
      <c r="AG63" s="295"/>
      <c r="AH63" s="292"/>
      <c r="AI63" s="294"/>
      <c r="AJ63" s="294"/>
      <c r="AK63" s="294"/>
      <c r="AL63" s="312"/>
      <c r="AM63" s="277"/>
      <c r="AN63" s="277"/>
      <c r="AO63" s="277"/>
      <c r="AP63" s="277"/>
      <c r="AQ63" s="277"/>
      <c r="AR63" s="277"/>
      <c r="AS63" s="277"/>
      <c r="AT63" s="277"/>
      <c r="AU63" s="277"/>
      <c r="AV63" s="277"/>
    </row>
    <row r="64" spans="1:48" hidden="1">
      <c r="A64" s="246">
        <v>12</v>
      </c>
      <c r="B64" s="246" t="s">
        <v>1232</v>
      </c>
      <c r="C64" s="246" t="s">
        <v>1343</v>
      </c>
      <c r="D64" s="246" t="s">
        <v>1280</v>
      </c>
      <c r="E64" s="246"/>
      <c r="F64" s="268"/>
      <c r="G64" s="246"/>
      <c r="H64" s="246"/>
      <c r="I64" s="296"/>
      <c r="J64" s="294"/>
      <c r="K64" s="294"/>
      <c r="L64" s="294"/>
      <c r="M64" s="312"/>
      <c r="N64" s="296"/>
      <c r="O64" s="294"/>
      <c r="P64" s="294"/>
      <c r="Q64" s="294"/>
      <c r="R64" s="312"/>
      <c r="S64" s="296"/>
      <c r="T64" s="294"/>
      <c r="U64" s="294"/>
      <c r="V64" s="294"/>
      <c r="W64" s="295"/>
      <c r="X64" s="296"/>
      <c r="Y64" s="294"/>
      <c r="Z64" s="294"/>
      <c r="AA64" s="294"/>
      <c r="AB64" s="295"/>
      <c r="AC64" s="292"/>
      <c r="AD64" s="294"/>
      <c r="AE64" s="294"/>
      <c r="AF64" s="294"/>
      <c r="AG64" s="295"/>
      <c r="AH64" s="292"/>
      <c r="AI64" s="294"/>
      <c r="AJ64" s="294"/>
      <c r="AK64" s="294"/>
      <c r="AL64" s="312"/>
      <c r="AM64" s="277"/>
      <c r="AN64" s="277"/>
      <c r="AO64" s="277"/>
      <c r="AP64" s="277"/>
      <c r="AQ64" s="277"/>
      <c r="AR64" s="277"/>
      <c r="AS64" s="277"/>
      <c r="AT64" s="277"/>
      <c r="AU64" s="277"/>
      <c r="AV64" s="277"/>
    </row>
  </sheetData>
  <mergeCells count="34">
    <mergeCell ref="CM33:CN33"/>
    <mergeCell ref="CK39:CT39"/>
    <mergeCell ref="BQ26:BU26"/>
    <mergeCell ref="CA26:CB26"/>
    <mergeCell ref="CK26:CL26"/>
    <mergeCell ref="AO33:AP33"/>
    <mergeCell ref="AW33:BF33"/>
    <mergeCell ref="BI33:BJ33"/>
    <mergeCell ref="BS33:BT33"/>
    <mergeCell ref="CC33:CD33"/>
    <mergeCell ref="BG26:BH26"/>
    <mergeCell ref="I3:R3"/>
    <mergeCell ref="S12:AB12"/>
    <mergeCell ref="AC19:AL19"/>
    <mergeCell ref="AM26:AV26"/>
    <mergeCell ref="AW26:AX26"/>
    <mergeCell ref="CP1:CT1"/>
    <mergeCell ref="AM1:AQ1"/>
    <mergeCell ref="AR1:AV1"/>
    <mergeCell ref="AW1:BA1"/>
    <mergeCell ref="BB1:BF1"/>
    <mergeCell ref="BG1:BK1"/>
    <mergeCell ref="BL1:BP1"/>
    <mergeCell ref="BQ1:BU1"/>
    <mergeCell ref="BV1:BZ1"/>
    <mergeCell ref="CA1:CE1"/>
    <mergeCell ref="CF1:CJ1"/>
    <mergeCell ref="CK1:CO1"/>
    <mergeCell ref="AH1:AL1"/>
    <mergeCell ref="I1:M1"/>
    <mergeCell ref="N1:R1"/>
    <mergeCell ref="S1:W1"/>
    <mergeCell ref="X1:AB1"/>
    <mergeCell ref="AC1:AG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2BAF6-F2E9-4E8F-8E09-244C18CD9842}">
  <dimension ref="A1:CT83"/>
  <sheetViews>
    <sheetView workbookViewId="0">
      <pane xSplit="8" topLeftCell="I30" activePane="topRight" state="frozen"/>
      <selection pane="topRight" activeCell="A6" sqref="A6"/>
    </sheetView>
  </sheetViews>
  <sheetFormatPr defaultRowHeight="15"/>
  <cols>
    <col min="3" max="3" width="61.42578125" customWidth="1"/>
    <col min="4" max="4" width="18" customWidth="1"/>
    <col min="5" max="5" width="11.42578125" customWidth="1"/>
    <col min="6" max="6" width="12.140625" customWidth="1"/>
    <col min="9" max="9" width="5.140625" customWidth="1"/>
    <col min="10" max="10" width="4.85546875" customWidth="1"/>
    <col min="11" max="11" width="5" customWidth="1"/>
    <col min="12" max="12" width="4.5703125" customWidth="1"/>
    <col min="13" max="13" width="4" customWidth="1"/>
    <col min="14" max="14" width="4.7109375" customWidth="1"/>
    <col min="15" max="15" width="4" customWidth="1"/>
    <col min="16" max="16" width="5" customWidth="1"/>
    <col min="17" max="17" width="4.85546875" customWidth="1"/>
    <col min="18" max="18" width="4.28515625" customWidth="1"/>
    <col min="19" max="19" width="4.85546875" customWidth="1"/>
    <col min="20" max="20" width="4.140625" customWidth="1"/>
    <col min="21" max="22" width="4.7109375" customWidth="1"/>
    <col min="23" max="23" width="3.7109375" customWidth="1"/>
    <col min="24" max="24" width="3.5703125" customWidth="1"/>
    <col min="25" max="25" width="4.85546875" customWidth="1"/>
    <col min="26" max="26" width="3.7109375" customWidth="1"/>
    <col min="27" max="27" width="4" customWidth="1"/>
    <col min="28" max="28" width="3.85546875" customWidth="1"/>
    <col min="29" max="29" width="4.7109375" customWidth="1"/>
    <col min="30" max="30" width="4" customWidth="1"/>
    <col min="31" max="31" width="3.7109375" customWidth="1"/>
    <col min="32" max="32" width="4.5703125" customWidth="1"/>
    <col min="33" max="33" width="4.42578125" customWidth="1"/>
    <col min="34" max="38" width="3.5703125" customWidth="1"/>
    <col min="39" max="39" width="3.42578125" customWidth="1"/>
    <col min="40" max="40" width="3.7109375" customWidth="1"/>
    <col min="41" max="41" width="4.28515625" customWidth="1"/>
    <col min="42" max="42" width="3" customWidth="1"/>
    <col min="43" max="43" width="4" customWidth="1"/>
    <col min="44" max="44" width="3.28515625" customWidth="1"/>
    <col min="45" max="45" width="4" customWidth="1"/>
    <col min="46" max="46" width="3.28515625" customWidth="1"/>
    <col min="47" max="47" width="4" customWidth="1"/>
    <col min="48" max="48" width="3.5703125" customWidth="1"/>
    <col min="49" max="49" width="3.7109375" customWidth="1"/>
    <col min="50" max="50" width="4.42578125" customWidth="1"/>
    <col min="51" max="51" width="3.85546875" customWidth="1"/>
    <col min="52" max="52" width="3.42578125" customWidth="1"/>
    <col min="53" max="53" width="3.140625" customWidth="1"/>
    <col min="54" max="54" width="4.140625" customWidth="1"/>
    <col min="55" max="55" width="3.7109375" customWidth="1"/>
    <col min="56" max="56" width="4" customWidth="1"/>
    <col min="57" max="57" width="4.5703125" customWidth="1"/>
    <col min="58" max="58" width="3.85546875" customWidth="1"/>
    <col min="59" max="59" width="4.7109375" customWidth="1"/>
    <col min="60" max="60" width="4" customWidth="1"/>
    <col min="61" max="61" width="4.28515625" customWidth="1"/>
    <col min="62" max="62" width="4.7109375" customWidth="1"/>
    <col min="63" max="63" width="3.7109375" customWidth="1"/>
    <col min="64" max="64" width="4.140625" customWidth="1"/>
    <col min="65" max="65" width="4.28515625" customWidth="1"/>
    <col min="66" max="66" width="4.42578125" customWidth="1"/>
    <col min="67" max="69" width="3.5703125" customWidth="1"/>
    <col min="70" max="70" width="3.85546875" customWidth="1"/>
    <col min="71" max="72" width="3.42578125" customWidth="1"/>
    <col min="73" max="73" width="3.5703125" customWidth="1"/>
    <col min="74" max="76" width="3.42578125" customWidth="1"/>
    <col min="77" max="78" width="3.7109375" customWidth="1"/>
    <col min="79" max="79" width="3.85546875" customWidth="1"/>
    <col min="80" max="81" width="4.140625" customWidth="1"/>
    <col min="82" max="82" width="3.5703125" customWidth="1"/>
    <col min="83" max="83" width="3.85546875" customWidth="1"/>
    <col min="84" max="85" width="3.5703125" customWidth="1"/>
    <col min="86" max="86" width="3.85546875" customWidth="1"/>
    <col min="87" max="87" width="3.140625" customWidth="1"/>
    <col min="88" max="88" width="3.28515625" customWidth="1"/>
    <col min="89" max="89" width="4" customWidth="1"/>
    <col min="90" max="90" width="3.28515625" customWidth="1"/>
    <col min="91" max="91" width="3" customWidth="1"/>
    <col min="92" max="92" width="3.42578125" customWidth="1"/>
    <col min="93" max="94" width="3.7109375" customWidth="1"/>
    <col min="95" max="95" width="3.42578125" customWidth="1"/>
    <col min="96" max="96" width="3.28515625" customWidth="1"/>
    <col min="97" max="97" width="4" customWidth="1"/>
    <col min="98" max="98" width="3.5703125" customWidth="1"/>
  </cols>
  <sheetData>
    <row r="1" spans="1:98">
      <c r="A1" s="246"/>
      <c r="B1" s="246"/>
      <c r="C1" s="246"/>
      <c r="D1" s="246"/>
      <c r="E1" s="246"/>
      <c r="F1" s="246"/>
      <c r="G1" s="246"/>
      <c r="H1" s="246"/>
      <c r="I1" s="568" t="s">
        <v>1249</v>
      </c>
      <c r="J1" s="568"/>
      <c r="K1" s="568"/>
      <c r="L1" s="568"/>
      <c r="M1" s="568"/>
      <c r="N1" s="569" t="s">
        <v>1250</v>
      </c>
      <c r="O1" s="570"/>
      <c r="P1" s="570"/>
      <c r="Q1" s="570"/>
      <c r="R1" s="570"/>
      <c r="S1" s="569" t="s">
        <v>1251</v>
      </c>
      <c r="T1" s="570"/>
      <c r="U1" s="570"/>
      <c r="V1" s="570"/>
      <c r="W1" s="570"/>
      <c r="X1" s="569" t="s">
        <v>1252</v>
      </c>
      <c r="Y1" s="570"/>
      <c r="Z1" s="570"/>
      <c r="AA1" s="570"/>
      <c r="AB1" s="570"/>
      <c r="AC1" s="569" t="s">
        <v>1253</v>
      </c>
      <c r="AD1" s="570"/>
      <c r="AE1" s="570"/>
      <c r="AF1" s="570"/>
      <c r="AG1" s="570"/>
      <c r="AH1" s="570" t="s">
        <v>1254</v>
      </c>
      <c r="AI1" s="570"/>
      <c r="AJ1" s="570"/>
      <c r="AK1" s="570"/>
      <c r="AL1" s="570"/>
      <c r="AM1" s="569" t="s">
        <v>1255</v>
      </c>
      <c r="AN1" s="570"/>
      <c r="AO1" s="570"/>
      <c r="AP1" s="570"/>
      <c r="AQ1" s="570"/>
      <c r="AR1" s="570" t="s">
        <v>1256</v>
      </c>
      <c r="AS1" s="570"/>
      <c r="AT1" s="570"/>
      <c r="AU1" s="570"/>
      <c r="AV1" s="570"/>
      <c r="AW1" s="569" t="s">
        <v>1257</v>
      </c>
      <c r="AX1" s="570"/>
      <c r="AY1" s="570"/>
      <c r="AZ1" s="570"/>
      <c r="BA1" s="570"/>
      <c r="BB1" s="570" t="s">
        <v>1258</v>
      </c>
      <c r="BC1" s="570"/>
      <c r="BD1" s="570"/>
      <c r="BE1" s="570"/>
      <c r="BF1" s="570"/>
      <c r="BG1" s="569" t="s">
        <v>1259</v>
      </c>
      <c r="BH1" s="570"/>
      <c r="BI1" s="570"/>
      <c r="BJ1" s="570"/>
      <c r="BK1" s="570"/>
      <c r="BL1" s="570" t="s">
        <v>1260</v>
      </c>
      <c r="BM1" s="570"/>
      <c r="BN1" s="570"/>
      <c r="BO1" s="570"/>
      <c r="BP1" s="570"/>
      <c r="BQ1" s="569" t="s">
        <v>1261</v>
      </c>
      <c r="BR1" s="570"/>
      <c r="BS1" s="570"/>
      <c r="BT1" s="570"/>
      <c r="BU1" s="570"/>
      <c r="BV1" s="570" t="s">
        <v>1262</v>
      </c>
      <c r="BW1" s="570"/>
      <c r="BX1" s="570"/>
      <c r="BY1" s="570"/>
      <c r="BZ1" s="570"/>
      <c r="CA1" s="569" t="s">
        <v>1263</v>
      </c>
      <c r="CB1" s="570"/>
      <c r="CC1" s="570"/>
      <c r="CD1" s="570"/>
      <c r="CE1" s="570"/>
      <c r="CF1" s="570" t="s">
        <v>1264</v>
      </c>
      <c r="CG1" s="570"/>
      <c r="CH1" s="570"/>
      <c r="CI1" s="570"/>
      <c r="CJ1" s="570"/>
      <c r="CK1" s="569" t="s">
        <v>1265</v>
      </c>
      <c r="CL1" s="570"/>
      <c r="CM1" s="570"/>
      <c r="CN1" s="570"/>
      <c r="CO1" s="570"/>
      <c r="CP1" s="570" t="s">
        <v>1266</v>
      </c>
      <c r="CQ1" s="570"/>
      <c r="CR1" s="570"/>
      <c r="CS1" s="570"/>
      <c r="CT1" s="570"/>
    </row>
    <row r="2" spans="1:98" ht="30">
      <c r="A2" s="247" t="s">
        <v>365</v>
      </c>
      <c r="B2" s="247" t="s">
        <v>1267</v>
      </c>
      <c r="C2" s="247" t="s">
        <v>6</v>
      </c>
      <c r="D2" s="247" t="s">
        <v>1268</v>
      </c>
      <c r="E2" s="248" t="s">
        <v>1269</v>
      </c>
      <c r="F2" s="248" t="s">
        <v>1270</v>
      </c>
      <c r="G2" s="249" t="s">
        <v>1271</v>
      </c>
      <c r="H2" s="249" t="s">
        <v>1272</v>
      </c>
      <c r="I2" s="491" t="s">
        <v>1273</v>
      </c>
      <c r="J2" s="492" t="s">
        <v>1274</v>
      </c>
      <c r="K2" s="492" t="s">
        <v>1275</v>
      </c>
      <c r="L2" s="492" t="s">
        <v>1276</v>
      </c>
      <c r="M2" s="493" t="s">
        <v>1277</v>
      </c>
      <c r="N2" s="494" t="s">
        <v>1273</v>
      </c>
      <c r="O2" s="495" t="s">
        <v>1274</v>
      </c>
      <c r="P2" s="495" t="s">
        <v>1275</v>
      </c>
      <c r="Q2" s="495" t="s">
        <v>1276</v>
      </c>
      <c r="R2" s="496" t="s">
        <v>1277</v>
      </c>
      <c r="S2" s="494" t="s">
        <v>1273</v>
      </c>
      <c r="T2" s="495" t="s">
        <v>1274</v>
      </c>
      <c r="U2" s="495" t="s">
        <v>1275</v>
      </c>
      <c r="V2" s="495" t="s">
        <v>1276</v>
      </c>
      <c r="W2" s="497" t="s">
        <v>1277</v>
      </c>
      <c r="X2" s="494" t="s">
        <v>1273</v>
      </c>
      <c r="Y2" s="495" t="s">
        <v>1274</v>
      </c>
      <c r="Z2" s="495" t="s">
        <v>1275</v>
      </c>
      <c r="AA2" s="495" t="s">
        <v>1276</v>
      </c>
      <c r="AB2" s="497" t="s">
        <v>1277</v>
      </c>
      <c r="AC2" s="494" t="s">
        <v>1273</v>
      </c>
      <c r="AD2" s="495" t="s">
        <v>1274</v>
      </c>
      <c r="AE2" s="495" t="s">
        <v>1275</v>
      </c>
      <c r="AF2" s="495" t="s">
        <v>1276</v>
      </c>
      <c r="AG2" s="497" t="s">
        <v>1277</v>
      </c>
      <c r="AH2" s="498" t="s">
        <v>1273</v>
      </c>
      <c r="AI2" s="495" t="s">
        <v>1274</v>
      </c>
      <c r="AJ2" s="495" t="s">
        <v>1275</v>
      </c>
      <c r="AK2" s="495" t="s">
        <v>1276</v>
      </c>
      <c r="AL2" s="496" t="s">
        <v>1277</v>
      </c>
      <c r="AM2" s="253" t="s">
        <v>1273</v>
      </c>
      <c r="AN2" s="254" t="s">
        <v>1274</v>
      </c>
      <c r="AO2" s="254" t="s">
        <v>1275</v>
      </c>
      <c r="AP2" s="254" t="s">
        <v>1276</v>
      </c>
      <c r="AQ2" s="256" t="s">
        <v>1277</v>
      </c>
      <c r="AR2" s="257" t="s">
        <v>1273</v>
      </c>
      <c r="AS2" s="254" t="s">
        <v>1274</v>
      </c>
      <c r="AT2" s="254" t="s">
        <v>1275</v>
      </c>
      <c r="AU2" s="254" t="s">
        <v>1276</v>
      </c>
      <c r="AV2" s="255" t="s">
        <v>1277</v>
      </c>
      <c r="AW2" s="253" t="s">
        <v>1273</v>
      </c>
      <c r="AX2" s="254" t="s">
        <v>1274</v>
      </c>
      <c r="AY2" s="254" t="s">
        <v>1275</v>
      </c>
      <c r="AZ2" s="254" t="s">
        <v>1276</v>
      </c>
      <c r="BA2" s="256" t="s">
        <v>1277</v>
      </c>
      <c r="BB2" s="257" t="s">
        <v>1273</v>
      </c>
      <c r="BC2" s="254" t="s">
        <v>1274</v>
      </c>
      <c r="BD2" s="254" t="s">
        <v>1275</v>
      </c>
      <c r="BE2" s="254" t="s">
        <v>1276</v>
      </c>
      <c r="BF2" s="255" t="s">
        <v>1277</v>
      </c>
      <c r="BG2" s="253" t="s">
        <v>1273</v>
      </c>
      <c r="BH2" s="254" t="s">
        <v>1274</v>
      </c>
      <c r="BI2" s="254" t="s">
        <v>1275</v>
      </c>
      <c r="BJ2" s="254" t="s">
        <v>1276</v>
      </c>
      <c r="BK2" s="256" t="s">
        <v>1277</v>
      </c>
      <c r="BL2" s="257" t="s">
        <v>1273</v>
      </c>
      <c r="BM2" s="254" t="s">
        <v>1274</v>
      </c>
      <c r="BN2" s="254" t="s">
        <v>1275</v>
      </c>
      <c r="BO2" s="254" t="s">
        <v>1276</v>
      </c>
      <c r="BP2" s="255" t="s">
        <v>1277</v>
      </c>
      <c r="BQ2" s="253" t="s">
        <v>1273</v>
      </c>
      <c r="BR2" s="254" t="s">
        <v>1274</v>
      </c>
      <c r="BS2" s="254" t="s">
        <v>1275</v>
      </c>
      <c r="BT2" s="254" t="s">
        <v>1276</v>
      </c>
      <c r="BU2" s="256" t="s">
        <v>1277</v>
      </c>
      <c r="BV2" s="257" t="s">
        <v>1273</v>
      </c>
      <c r="BW2" s="254" t="s">
        <v>1274</v>
      </c>
      <c r="BX2" s="254" t="s">
        <v>1275</v>
      </c>
      <c r="BY2" s="254" t="s">
        <v>1276</v>
      </c>
      <c r="BZ2" s="255" t="s">
        <v>1277</v>
      </c>
      <c r="CA2" s="253" t="s">
        <v>1273</v>
      </c>
      <c r="CB2" s="254" t="s">
        <v>1274</v>
      </c>
      <c r="CC2" s="254" t="s">
        <v>1275</v>
      </c>
      <c r="CD2" s="254" t="s">
        <v>1276</v>
      </c>
      <c r="CE2" s="256" t="s">
        <v>1277</v>
      </c>
      <c r="CF2" s="257" t="s">
        <v>1273</v>
      </c>
      <c r="CG2" s="254" t="s">
        <v>1274</v>
      </c>
      <c r="CH2" s="254" t="s">
        <v>1275</v>
      </c>
      <c r="CI2" s="254" t="s">
        <v>1276</v>
      </c>
      <c r="CJ2" s="255" t="s">
        <v>1277</v>
      </c>
      <c r="CK2" s="253" t="s">
        <v>1273</v>
      </c>
      <c r="CL2" s="254" t="s">
        <v>1274</v>
      </c>
      <c r="CM2" s="254" t="s">
        <v>1275</v>
      </c>
      <c r="CN2" s="254" t="s">
        <v>1276</v>
      </c>
      <c r="CO2" s="256" t="s">
        <v>1277</v>
      </c>
      <c r="CP2" s="257" t="s">
        <v>1273</v>
      </c>
      <c r="CQ2" s="254" t="s">
        <v>1274</v>
      </c>
      <c r="CR2" s="254" t="s">
        <v>1275</v>
      </c>
      <c r="CS2" s="254" t="s">
        <v>1276</v>
      </c>
      <c r="CT2" s="255" t="s">
        <v>1277</v>
      </c>
    </row>
    <row r="3" spans="1:98">
      <c r="A3" s="258">
        <v>0</v>
      </c>
      <c r="B3" s="258" t="s">
        <v>1278</v>
      </c>
      <c r="C3" s="258" t="s">
        <v>1279</v>
      </c>
      <c r="D3" s="259" t="s">
        <v>1280</v>
      </c>
      <c r="E3" s="258" t="s">
        <v>1281</v>
      </c>
      <c r="F3" s="258" t="s">
        <v>1281</v>
      </c>
      <c r="G3" s="258"/>
      <c r="H3" s="260">
        <v>0</v>
      </c>
      <c r="I3" s="571" t="s">
        <v>1282</v>
      </c>
      <c r="J3" s="572"/>
      <c r="K3" s="572"/>
      <c r="L3" s="572"/>
      <c r="M3" s="572"/>
      <c r="N3" s="572"/>
      <c r="O3" s="572"/>
      <c r="P3" s="572"/>
      <c r="Q3" s="572"/>
      <c r="R3" s="573"/>
      <c r="S3" s="520"/>
      <c r="T3" s="471"/>
      <c r="U3" s="471"/>
      <c r="V3" s="471"/>
      <c r="W3" s="471"/>
      <c r="X3" s="471"/>
      <c r="Y3" s="471"/>
      <c r="Z3" s="471"/>
      <c r="AA3" s="471"/>
      <c r="AB3" s="471"/>
      <c r="AC3" s="471"/>
      <c r="AD3" s="471"/>
      <c r="AE3" s="471"/>
      <c r="AF3" s="471"/>
      <c r="AG3" s="471"/>
      <c r="AH3" s="471"/>
      <c r="AI3" s="471"/>
      <c r="AJ3" s="471"/>
      <c r="AK3" s="471"/>
      <c r="AL3" s="471"/>
      <c r="AM3" s="484"/>
      <c r="AN3" s="266"/>
      <c r="AO3" s="266"/>
      <c r="AP3" s="266"/>
      <c r="AQ3" s="266"/>
      <c r="AR3" s="266"/>
      <c r="AS3" s="266"/>
      <c r="AT3" s="266"/>
      <c r="AU3" s="266"/>
      <c r="AV3" s="266"/>
      <c r="AW3" s="266"/>
      <c r="AX3" s="266"/>
      <c r="AY3" s="266"/>
      <c r="AZ3" s="266"/>
      <c r="BA3" s="266"/>
      <c r="BB3" s="266"/>
      <c r="BC3" s="266"/>
      <c r="BD3" s="266"/>
      <c r="BE3" s="266"/>
      <c r="BF3" s="266"/>
      <c r="BG3" s="266"/>
      <c r="BH3" s="266"/>
      <c r="BI3" s="266"/>
      <c r="BJ3" s="266"/>
      <c r="BK3" s="266"/>
      <c r="BL3" s="266"/>
      <c r="BM3" s="266"/>
      <c r="BN3" s="266"/>
      <c r="BO3" s="266"/>
      <c r="BP3" s="266"/>
      <c r="BQ3" s="266"/>
      <c r="BR3" s="266"/>
      <c r="BS3" s="266"/>
      <c r="BT3" s="266"/>
      <c r="BU3" s="266"/>
      <c r="BV3" s="266"/>
      <c r="BW3" s="266"/>
      <c r="BX3" s="266"/>
      <c r="BY3" s="266"/>
      <c r="BZ3" s="266"/>
      <c r="CA3" s="266"/>
      <c r="CB3" s="266"/>
      <c r="CC3" s="266"/>
      <c r="CD3" s="266"/>
      <c r="CE3" s="266"/>
      <c r="CF3" s="266"/>
      <c r="CG3" s="266"/>
      <c r="CH3" s="266"/>
      <c r="CI3" s="266"/>
      <c r="CJ3" s="266"/>
      <c r="CK3" s="266"/>
      <c r="CL3" s="266"/>
      <c r="CM3" s="266"/>
      <c r="CN3" s="266"/>
      <c r="CO3" s="266"/>
      <c r="CP3" s="266"/>
      <c r="CQ3" s="266"/>
      <c r="CR3" s="266"/>
      <c r="CS3" s="266"/>
      <c r="CT3" s="266"/>
    </row>
    <row r="4" spans="1:98">
      <c r="A4" s="246">
        <v>0</v>
      </c>
      <c r="B4" s="246" t="s">
        <v>1232</v>
      </c>
      <c r="C4" s="246" t="s">
        <v>1283</v>
      </c>
      <c r="D4" s="246" t="s">
        <v>245</v>
      </c>
      <c r="E4" s="267"/>
      <c r="F4" s="246"/>
      <c r="G4" s="268"/>
      <c r="H4" s="269">
        <v>1</v>
      </c>
      <c r="I4" s="517"/>
      <c r="J4" s="473"/>
      <c r="K4" s="473"/>
      <c r="L4" s="473"/>
      <c r="M4" s="473"/>
      <c r="N4" s="473"/>
      <c r="O4" s="473"/>
      <c r="P4" s="473"/>
      <c r="Q4" s="473"/>
      <c r="R4" s="501"/>
      <c r="S4" s="513"/>
      <c r="T4" s="473"/>
      <c r="U4" s="473"/>
      <c r="V4" s="473"/>
      <c r="W4" s="473"/>
      <c r="X4" s="473"/>
      <c r="Y4" s="473"/>
      <c r="Z4" s="473"/>
      <c r="AA4" s="473"/>
      <c r="AB4" s="473"/>
      <c r="AC4" s="473"/>
      <c r="AD4" s="473"/>
      <c r="AE4" s="473"/>
      <c r="AF4" s="473"/>
      <c r="AG4" s="473"/>
      <c r="AH4" s="473"/>
      <c r="AI4" s="473"/>
      <c r="AJ4" s="473"/>
      <c r="AK4" s="473"/>
      <c r="AL4" s="473"/>
      <c r="AM4" s="327"/>
      <c r="AN4" s="277"/>
      <c r="AO4" s="277"/>
      <c r="AP4" s="277"/>
      <c r="AQ4" s="277"/>
      <c r="AR4" s="277"/>
      <c r="AS4" s="277"/>
      <c r="AT4" s="277"/>
      <c r="AU4" s="277"/>
      <c r="AV4" s="277"/>
      <c r="AW4" s="277"/>
      <c r="AX4" s="277"/>
      <c r="AY4" s="277"/>
      <c r="AZ4" s="277"/>
      <c r="BA4" s="277"/>
      <c r="BB4" s="277"/>
      <c r="BC4" s="277"/>
      <c r="BD4" s="277"/>
      <c r="BE4" s="277"/>
      <c r="BF4" s="277"/>
      <c r="BG4" s="277"/>
      <c r="BH4" s="277"/>
      <c r="BI4" s="277"/>
      <c r="BJ4" s="277"/>
      <c r="BK4" s="277"/>
      <c r="BL4" s="277"/>
      <c r="BM4" s="277"/>
      <c r="BN4" s="277"/>
      <c r="BO4" s="277"/>
      <c r="BP4" s="277"/>
      <c r="BQ4" s="277"/>
      <c r="BR4" s="277"/>
      <c r="BS4" s="277"/>
      <c r="BT4" s="277"/>
      <c r="BU4" s="277"/>
      <c r="BV4" s="277"/>
      <c r="BW4" s="277"/>
      <c r="BX4" s="277"/>
      <c r="BY4" s="277"/>
      <c r="BZ4" s="277"/>
      <c r="CA4" s="277"/>
      <c r="CB4" s="277"/>
      <c r="CC4" s="277"/>
      <c r="CD4" s="277"/>
      <c r="CE4" s="277"/>
      <c r="CF4" s="277"/>
      <c r="CG4" s="277"/>
      <c r="CH4" s="277"/>
      <c r="CI4" s="277"/>
      <c r="CJ4" s="277"/>
      <c r="CK4" s="277"/>
      <c r="CL4" s="277"/>
      <c r="CM4" s="277"/>
      <c r="CN4" s="277"/>
      <c r="CO4" s="277"/>
      <c r="CP4" s="277"/>
      <c r="CQ4" s="277"/>
      <c r="CR4" s="277"/>
      <c r="CS4" s="277"/>
      <c r="CT4" s="277"/>
    </row>
    <row r="5" spans="1:98">
      <c r="A5" s="246">
        <v>0</v>
      </c>
      <c r="B5" s="246" t="s">
        <v>1232</v>
      </c>
      <c r="C5" t="s">
        <v>1284</v>
      </c>
      <c r="D5" s="246" t="s">
        <v>1285</v>
      </c>
      <c r="E5" s="415">
        <v>45938</v>
      </c>
      <c r="F5" s="415">
        <v>45954</v>
      </c>
      <c r="G5" s="268">
        <v>10</v>
      </c>
      <c r="H5" s="269">
        <v>1</v>
      </c>
      <c r="I5" s="523"/>
      <c r="J5" s="480"/>
      <c r="K5" s="480"/>
      <c r="L5" s="480"/>
      <c r="M5" s="480"/>
      <c r="N5" s="480"/>
      <c r="O5" s="480"/>
      <c r="P5" s="480"/>
      <c r="Q5" s="480"/>
      <c r="R5" s="524"/>
      <c r="S5" s="513"/>
      <c r="T5" s="473"/>
      <c r="U5" s="473"/>
      <c r="V5" s="473"/>
      <c r="W5" s="473"/>
      <c r="X5" s="473"/>
      <c r="Y5" s="473"/>
      <c r="Z5" s="473"/>
      <c r="AA5" s="473"/>
      <c r="AB5" s="473"/>
      <c r="AC5" s="473"/>
      <c r="AD5" s="473"/>
      <c r="AE5" s="473"/>
      <c r="AF5" s="473"/>
      <c r="AG5" s="473"/>
      <c r="AH5" s="473"/>
      <c r="AI5" s="473"/>
      <c r="AJ5" s="473"/>
      <c r="AK5" s="473"/>
      <c r="AL5" s="473"/>
      <c r="AM5" s="327"/>
      <c r="AN5" s="277"/>
      <c r="AO5" s="277"/>
      <c r="AP5" s="277"/>
      <c r="AQ5" s="277"/>
      <c r="AR5" s="277"/>
      <c r="AS5" s="277"/>
      <c r="AT5" s="277"/>
      <c r="AU5" s="277"/>
      <c r="AV5" s="277"/>
      <c r="AW5" s="277"/>
      <c r="AX5" s="277"/>
      <c r="AY5" s="277"/>
      <c r="AZ5" s="277"/>
      <c r="BA5" s="277"/>
      <c r="BB5" s="277"/>
      <c r="BC5" s="277"/>
      <c r="BD5" s="277"/>
      <c r="BE5" s="277"/>
      <c r="BF5" s="277"/>
      <c r="BG5" s="277"/>
      <c r="BH5" s="277"/>
      <c r="BI5" s="277"/>
      <c r="BJ5" s="277"/>
      <c r="BK5" s="277"/>
      <c r="BL5" s="277"/>
      <c r="BM5" s="277"/>
      <c r="BN5" s="277"/>
      <c r="BO5" s="277"/>
      <c r="BP5" s="277"/>
      <c r="BQ5" s="277"/>
      <c r="BR5" s="277"/>
      <c r="BS5" s="277"/>
      <c r="BT5" s="277"/>
      <c r="BU5" s="277"/>
      <c r="BV5" s="277"/>
      <c r="BW5" s="277"/>
      <c r="BX5" s="277"/>
      <c r="BY5" s="277"/>
      <c r="BZ5" s="277"/>
      <c r="CA5" s="277"/>
      <c r="CB5" s="277"/>
      <c r="CC5" s="277"/>
      <c r="CD5" s="277"/>
      <c r="CE5" s="277"/>
      <c r="CF5" s="277"/>
      <c r="CG5" s="277"/>
      <c r="CH5" s="277"/>
      <c r="CI5" s="277"/>
      <c r="CJ5" s="277"/>
      <c r="CK5" s="277"/>
      <c r="CL5" s="277"/>
      <c r="CM5" s="277"/>
      <c r="CN5" s="277"/>
      <c r="CO5" s="277"/>
      <c r="CP5" s="277"/>
      <c r="CQ5" s="277"/>
      <c r="CR5" s="277"/>
      <c r="CS5" s="277"/>
      <c r="CT5" s="277"/>
    </row>
    <row r="6" spans="1:98">
      <c r="A6" s="246">
        <v>0</v>
      </c>
      <c r="B6" s="246" t="s">
        <v>1232</v>
      </c>
      <c r="C6" s="246" t="s">
        <v>1286</v>
      </c>
      <c r="D6" s="246" t="s">
        <v>245</v>
      </c>
      <c r="E6" s="415">
        <v>45957</v>
      </c>
      <c r="F6" s="415">
        <v>45968</v>
      </c>
      <c r="G6" s="268">
        <v>10</v>
      </c>
      <c r="H6" s="269">
        <v>1</v>
      </c>
      <c r="I6" s="523"/>
      <c r="J6" s="480"/>
      <c r="K6" s="480"/>
      <c r="L6" s="480"/>
      <c r="M6" s="480"/>
      <c r="N6" s="480"/>
      <c r="O6" s="480"/>
      <c r="P6" s="480"/>
      <c r="Q6" s="480"/>
      <c r="R6" s="524"/>
      <c r="S6" s="513"/>
      <c r="T6" s="473"/>
      <c r="U6" s="473"/>
      <c r="V6" s="473"/>
      <c r="W6" s="473"/>
      <c r="X6" s="473"/>
      <c r="Y6" s="473"/>
      <c r="Z6" s="473"/>
      <c r="AA6" s="473"/>
      <c r="AB6" s="473"/>
      <c r="AC6" s="473"/>
      <c r="AD6" s="473"/>
      <c r="AE6" s="473"/>
      <c r="AF6" s="473"/>
      <c r="AG6" s="473"/>
      <c r="AH6" s="473"/>
      <c r="AI6" s="473"/>
      <c r="AJ6" s="473"/>
      <c r="AK6" s="473"/>
      <c r="AL6" s="473"/>
      <c r="AM6" s="327"/>
      <c r="AN6" s="277"/>
      <c r="AO6" s="277"/>
      <c r="AP6" s="277"/>
      <c r="AQ6" s="277"/>
      <c r="AR6" s="277"/>
      <c r="AS6" s="277"/>
      <c r="AT6" s="277"/>
      <c r="AU6" s="277"/>
      <c r="AV6" s="277"/>
      <c r="AW6" s="277"/>
      <c r="AX6" s="277"/>
      <c r="AY6" s="277"/>
      <c r="AZ6" s="277"/>
      <c r="BA6" s="277"/>
      <c r="BB6" s="277"/>
      <c r="BC6" s="277"/>
      <c r="BD6" s="277"/>
      <c r="BE6" s="277"/>
      <c r="BF6" s="277"/>
      <c r="BG6" s="277"/>
      <c r="BH6" s="277"/>
      <c r="BI6" s="277"/>
      <c r="BJ6" s="277"/>
      <c r="BK6" s="277"/>
      <c r="BL6" s="277"/>
      <c r="BM6" s="277"/>
      <c r="BN6" s="277"/>
      <c r="BO6" s="277"/>
      <c r="BP6" s="277"/>
      <c r="BQ6" s="277"/>
      <c r="BR6" s="277"/>
      <c r="BS6" s="277"/>
      <c r="BT6" s="277"/>
      <c r="BU6" s="277"/>
      <c r="BV6" s="277"/>
      <c r="BW6" s="277"/>
      <c r="BX6" s="277"/>
      <c r="BY6" s="277"/>
      <c r="BZ6" s="277"/>
      <c r="CA6" s="277"/>
      <c r="CB6" s="277"/>
      <c r="CC6" s="277"/>
      <c r="CD6" s="277"/>
      <c r="CE6" s="277"/>
      <c r="CF6" s="277"/>
      <c r="CG6" s="277"/>
      <c r="CH6" s="277"/>
      <c r="CI6" s="277"/>
      <c r="CJ6" s="277"/>
      <c r="CK6" s="277"/>
      <c r="CL6" s="277"/>
      <c r="CM6" s="277"/>
      <c r="CN6" s="277"/>
      <c r="CO6" s="277"/>
      <c r="CP6" s="277"/>
      <c r="CQ6" s="277"/>
      <c r="CR6" s="277"/>
      <c r="CS6" s="277"/>
      <c r="CT6" s="277"/>
    </row>
    <row r="7" spans="1:98">
      <c r="A7" s="246">
        <v>0</v>
      </c>
      <c r="B7" s="246" t="s">
        <v>1232</v>
      </c>
      <c r="C7" s="246" t="s">
        <v>1287</v>
      </c>
      <c r="D7" s="246" t="s">
        <v>1280</v>
      </c>
      <c r="E7" s="415">
        <v>46027</v>
      </c>
      <c r="F7" s="415">
        <v>46052</v>
      </c>
      <c r="G7" s="268">
        <v>20</v>
      </c>
      <c r="H7" s="269"/>
      <c r="I7" s="523"/>
      <c r="J7" s="480"/>
      <c r="K7" s="480"/>
      <c r="L7" s="480"/>
      <c r="M7" s="480"/>
      <c r="N7" s="480"/>
      <c r="O7" s="480"/>
      <c r="P7" s="480"/>
      <c r="Q7" s="480"/>
      <c r="R7" s="524"/>
      <c r="S7" s="513"/>
      <c r="T7" s="473"/>
      <c r="U7" s="473"/>
      <c r="V7" s="473"/>
      <c r="W7" s="473"/>
      <c r="X7" s="473"/>
      <c r="Y7" s="473"/>
      <c r="Z7" s="473"/>
      <c r="AA7" s="473"/>
      <c r="AB7" s="473"/>
      <c r="AC7" s="473"/>
      <c r="AD7" s="473"/>
      <c r="AE7" s="473"/>
      <c r="AF7" s="473"/>
      <c r="AG7" s="473"/>
      <c r="AH7" s="473"/>
      <c r="AI7" s="473"/>
      <c r="AJ7" s="473"/>
      <c r="AK7" s="473"/>
      <c r="AL7" s="473"/>
      <c r="AM7" s="327"/>
      <c r="AN7" s="277"/>
      <c r="AO7" s="277"/>
      <c r="AP7" s="277"/>
      <c r="AQ7" s="277"/>
      <c r="AR7" s="277"/>
      <c r="AS7" s="277"/>
      <c r="AT7" s="277"/>
      <c r="AU7" s="277"/>
      <c r="AV7" s="277"/>
      <c r="AW7" s="277"/>
      <c r="AX7" s="277"/>
      <c r="AY7" s="277"/>
      <c r="AZ7" s="277"/>
      <c r="BA7" s="277"/>
      <c r="BB7" s="277"/>
      <c r="BC7" s="277"/>
      <c r="BD7" s="277"/>
      <c r="BE7" s="277"/>
      <c r="BF7" s="277"/>
      <c r="BG7" s="277"/>
      <c r="BH7" s="277"/>
      <c r="BI7" s="277"/>
      <c r="BJ7" s="277"/>
      <c r="BK7" s="277"/>
      <c r="BL7" s="277"/>
      <c r="BM7" s="277"/>
      <c r="BN7" s="277"/>
      <c r="BO7" s="277"/>
      <c r="BP7" s="277"/>
      <c r="BQ7" s="277"/>
      <c r="BR7" s="277"/>
      <c r="BS7" s="277"/>
      <c r="BT7" s="277"/>
      <c r="BU7" s="277"/>
      <c r="BV7" s="277"/>
      <c r="BW7" s="277"/>
      <c r="BX7" s="277"/>
      <c r="BY7" s="277"/>
      <c r="BZ7" s="277"/>
      <c r="CA7" s="277"/>
      <c r="CB7" s="277"/>
      <c r="CC7" s="277"/>
      <c r="CD7" s="277"/>
      <c r="CE7" s="277"/>
      <c r="CF7" s="277"/>
      <c r="CG7" s="277"/>
      <c r="CH7" s="277"/>
      <c r="CI7" s="277"/>
      <c r="CJ7" s="277"/>
      <c r="CK7" s="277"/>
      <c r="CL7" s="277"/>
      <c r="CM7" s="277"/>
      <c r="CN7" s="277"/>
      <c r="CO7" s="277"/>
      <c r="CP7" s="277"/>
      <c r="CQ7" s="277"/>
      <c r="CR7" s="277"/>
      <c r="CS7" s="277"/>
      <c r="CT7" s="277"/>
    </row>
    <row r="8" spans="1:98">
      <c r="A8" s="246">
        <v>0</v>
      </c>
      <c r="B8" s="246" t="s">
        <v>1232</v>
      </c>
      <c r="C8" s="246" t="s">
        <v>1288</v>
      </c>
      <c r="D8" s="246" t="s">
        <v>376</v>
      </c>
      <c r="E8" s="416">
        <v>46010</v>
      </c>
      <c r="F8" s="415">
        <v>46017</v>
      </c>
      <c r="G8" s="268">
        <v>5</v>
      </c>
      <c r="H8" s="269"/>
      <c r="I8" s="502"/>
      <c r="J8" s="473"/>
      <c r="K8" s="473"/>
      <c r="L8" s="472"/>
      <c r="M8" s="472"/>
      <c r="N8" s="472"/>
      <c r="O8" s="472"/>
      <c r="P8" s="473"/>
      <c r="Q8" s="473"/>
      <c r="R8" s="501"/>
      <c r="S8" s="513"/>
      <c r="T8" s="473"/>
      <c r="U8" s="473"/>
      <c r="V8" s="473"/>
      <c r="W8" s="473"/>
      <c r="X8" s="473"/>
      <c r="Y8" s="473"/>
      <c r="Z8" s="473"/>
      <c r="AA8" s="473"/>
      <c r="AB8" s="473"/>
      <c r="AC8" s="473"/>
      <c r="AD8" s="473"/>
      <c r="AE8" s="473"/>
      <c r="AF8" s="473"/>
      <c r="AG8" s="473"/>
      <c r="AH8" s="473"/>
      <c r="AI8" s="473"/>
      <c r="AJ8" s="473"/>
      <c r="AK8" s="473"/>
      <c r="AL8" s="473"/>
      <c r="AM8" s="327"/>
      <c r="AN8" s="277"/>
      <c r="AO8" s="277"/>
      <c r="AP8" s="277"/>
      <c r="AQ8" s="277"/>
      <c r="AR8" s="277"/>
      <c r="AS8" s="277"/>
      <c r="AT8" s="277"/>
      <c r="AU8" s="277"/>
      <c r="AV8" s="277"/>
      <c r="AW8" s="277"/>
      <c r="AX8" s="277"/>
      <c r="AY8" s="277"/>
      <c r="AZ8" s="277"/>
      <c r="BA8" s="277"/>
      <c r="BB8" s="277"/>
      <c r="BC8" s="277"/>
      <c r="BD8" s="277"/>
      <c r="BE8" s="277"/>
      <c r="BF8" s="277"/>
      <c r="BG8" s="277"/>
      <c r="BH8" s="277"/>
      <c r="BI8" s="277"/>
      <c r="BJ8" s="277"/>
      <c r="BK8" s="277"/>
      <c r="BL8" s="277"/>
      <c r="BM8" s="277"/>
      <c r="BN8" s="277"/>
      <c r="BO8" s="277"/>
      <c r="BP8" s="277"/>
      <c r="BQ8" s="277"/>
      <c r="BR8" s="277"/>
      <c r="BS8" s="277"/>
      <c r="BT8" s="277"/>
      <c r="BU8" s="277"/>
      <c r="BV8" s="277"/>
      <c r="BW8" s="277"/>
      <c r="BX8" s="277"/>
      <c r="BY8" s="277"/>
      <c r="BZ8" s="277"/>
      <c r="CA8" s="277"/>
      <c r="CB8" s="277"/>
      <c r="CC8" s="277"/>
      <c r="CD8" s="277"/>
      <c r="CE8" s="277"/>
      <c r="CF8" s="277"/>
      <c r="CG8" s="277"/>
      <c r="CH8" s="277"/>
      <c r="CI8" s="277"/>
      <c r="CJ8" s="277"/>
      <c r="CK8" s="277"/>
      <c r="CL8" s="277"/>
      <c r="CM8" s="277"/>
      <c r="CN8" s="277"/>
      <c r="CO8" s="277"/>
      <c r="CP8" s="277"/>
      <c r="CQ8" s="277"/>
      <c r="CR8" s="277"/>
      <c r="CS8" s="277"/>
      <c r="CT8" s="277"/>
    </row>
    <row r="9" spans="1:98">
      <c r="A9" s="246">
        <v>0</v>
      </c>
      <c r="B9" s="246" t="s">
        <v>1232</v>
      </c>
      <c r="C9" t="s">
        <v>1344</v>
      </c>
      <c r="D9" s="246" t="s">
        <v>376</v>
      </c>
      <c r="E9" s="416">
        <v>46028</v>
      </c>
      <c r="F9" s="246" t="s">
        <v>1281</v>
      </c>
      <c r="G9" s="268" t="s">
        <v>1281</v>
      </c>
      <c r="H9" s="269"/>
      <c r="I9" s="517"/>
      <c r="J9" s="472"/>
      <c r="K9" s="472"/>
      <c r="L9" s="472"/>
      <c r="M9" s="472"/>
      <c r="N9" s="472"/>
      <c r="O9" s="472"/>
      <c r="P9" s="472"/>
      <c r="Q9" s="472"/>
      <c r="R9" s="518"/>
      <c r="S9" s="513"/>
      <c r="T9" s="473"/>
      <c r="U9" s="473"/>
      <c r="V9" s="473"/>
      <c r="W9" s="473"/>
      <c r="X9" s="473"/>
      <c r="Y9" s="473"/>
      <c r="Z9" s="473"/>
      <c r="AA9" s="473"/>
      <c r="AB9" s="473"/>
      <c r="AC9" s="473"/>
      <c r="AD9" s="473"/>
      <c r="AE9" s="473"/>
      <c r="AF9" s="473"/>
      <c r="AG9" s="473"/>
      <c r="AH9" s="473"/>
      <c r="AI9" s="473"/>
      <c r="AJ9" s="473"/>
      <c r="AK9" s="473"/>
      <c r="AL9" s="473"/>
      <c r="AM9" s="327"/>
      <c r="AN9" s="277"/>
      <c r="AO9" s="277"/>
      <c r="AP9" s="277"/>
      <c r="AQ9" s="277"/>
      <c r="AR9" s="277"/>
      <c r="AS9" s="277"/>
      <c r="AT9" s="277"/>
      <c r="AU9" s="277"/>
      <c r="AV9" s="277"/>
      <c r="AW9" s="277"/>
      <c r="AX9" s="277"/>
      <c r="AY9" s="277"/>
      <c r="AZ9" s="277"/>
      <c r="BA9" s="277"/>
      <c r="BB9" s="277"/>
      <c r="BC9" s="277"/>
      <c r="BD9" s="277"/>
      <c r="BE9" s="277"/>
      <c r="BF9" s="277"/>
      <c r="BG9" s="277"/>
      <c r="BH9" s="277"/>
      <c r="BI9" s="277"/>
      <c r="BJ9" s="277"/>
      <c r="BK9" s="277"/>
      <c r="BL9" s="277"/>
      <c r="BM9" s="277"/>
      <c r="BN9" s="277"/>
      <c r="BO9" s="277"/>
      <c r="BP9" s="277"/>
      <c r="BQ9" s="277"/>
      <c r="BR9" s="277"/>
      <c r="BS9" s="277"/>
      <c r="BT9" s="277"/>
      <c r="BU9" s="277"/>
      <c r="BV9" s="277"/>
      <c r="BW9" s="277"/>
      <c r="BX9" s="277"/>
      <c r="BY9" s="277"/>
      <c r="BZ9" s="277"/>
      <c r="CA9" s="277"/>
      <c r="CB9" s="277"/>
      <c r="CC9" s="277"/>
      <c r="CD9" s="277"/>
      <c r="CE9" s="277"/>
      <c r="CF9" s="277"/>
      <c r="CG9" s="277"/>
      <c r="CH9" s="277"/>
      <c r="CI9" s="277"/>
      <c r="CJ9" s="277"/>
      <c r="CK9" s="277"/>
      <c r="CL9" s="277"/>
      <c r="CM9" s="277"/>
      <c r="CN9" s="277"/>
      <c r="CO9" s="277"/>
      <c r="CP9" s="277"/>
      <c r="CQ9" s="277"/>
      <c r="CR9" s="277"/>
      <c r="CS9" s="277"/>
      <c r="CT9" s="277"/>
    </row>
    <row r="10" spans="1:98">
      <c r="A10" s="246">
        <v>0</v>
      </c>
      <c r="B10" s="246" t="s">
        <v>1232</v>
      </c>
      <c r="C10" t="s">
        <v>1345</v>
      </c>
      <c r="D10" s="246" t="s">
        <v>1285</v>
      </c>
      <c r="E10" s="416">
        <v>46028</v>
      </c>
      <c r="F10" s="267" t="s">
        <v>1281</v>
      </c>
      <c r="G10" s="268" t="s">
        <v>1281</v>
      </c>
      <c r="H10" s="269"/>
      <c r="I10" s="502"/>
      <c r="J10" s="473"/>
      <c r="K10" s="525"/>
      <c r="L10" s="525"/>
      <c r="M10" s="525"/>
      <c r="N10" s="525"/>
      <c r="O10" s="525"/>
      <c r="P10" s="525"/>
      <c r="Q10" s="525"/>
      <c r="R10" s="501"/>
      <c r="S10" s="513"/>
      <c r="T10" s="473"/>
      <c r="U10" s="473"/>
      <c r="V10" s="473"/>
      <c r="W10" s="473"/>
      <c r="X10" s="473"/>
      <c r="Y10" s="473"/>
      <c r="Z10" s="473"/>
      <c r="AA10" s="473"/>
      <c r="AB10" s="473"/>
      <c r="AC10" s="473"/>
      <c r="AD10" s="473"/>
      <c r="AE10" s="473"/>
      <c r="AF10" s="473"/>
      <c r="AG10" s="473"/>
      <c r="AH10" s="473"/>
      <c r="AI10" s="473"/>
      <c r="AJ10" s="473"/>
      <c r="AK10" s="473"/>
      <c r="AL10" s="473"/>
      <c r="AM10" s="327"/>
      <c r="AN10" s="277"/>
      <c r="AO10" s="277"/>
      <c r="AP10" s="277"/>
      <c r="AQ10" s="277"/>
      <c r="AR10" s="277"/>
      <c r="AS10" s="277"/>
      <c r="AT10" s="277"/>
      <c r="AU10" s="277"/>
      <c r="AV10" s="277"/>
      <c r="AW10" s="277"/>
      <c r="AX10" s="277"/>
      <c r="AY10" s="277"/>
      <c r="AZ10" s="277"/>
      <c r="BA10" s="277"/>
      <c r="BB10" s="277"/>
      <c r="BC10" s="277"/>
      <c r="BD10" s="277"/>
      <c r="BE10" s="277"/>
      <c r="BF10" s="277"/>
      <c r="BG10" s="277"/>
      <c r="BH10" s="277"/>
      <c r="BI10" s="277"/>
      <c r="BJ10" s="277"/>
      <c r="BK10" s="277"/>
      <c r="BL10" s="277"/>
      <c r="BM10" s="277"/>
      <c r="BN10" s="277"/>
      <c r="BO10" s="277"/>
      <c r="BP10" s="277"/>
      <c r="BQ10" s="277"/>
      <c r="BR10" s="277"/>
      <c r="BS10" s="277"/>
      <c r="BT10" s="277"/>
      <c r="BU10" s="277"/>
      <c r="BV10" s="277"/>
      <c r="BW10" s="277"/>
      <c r="BX10" s="277"/>
      <c r="BY10" s="277"/>
      <c r="BZ10" s="277"/>
      <c r="CA10" s="277"/>
      <c r="CB10" s="277"/>
      <c r="CC10" s="277"/>
      <c r="CD10" s="277"/>
      <c r="CE10" s="277"/>
      <c r="CF10" s="277"/>
      <c r="CG10" s="277"/>
      <c r="CH10" s="277"/>
      <c r="CI10" s="277"/>
      <c r="CJ10" s="277"/>
      <c r="CK10" s="277"/>
      <c r="CL10" s="277"/>
      <c r="CM10" s="277"/>
      <c r="CN10" s="277"/>
      <c r="CO10" s="277"/>
      <c r="CP10" s="277"/>
      <c r="CQ10" s="277"/>
      <c r="CR10" s="277"/>
      <c r="CS10" s="277"/>
      <c r="CT10" s="277"/>
    </row>
    <row r="11" spans="1:98">
      <c r="A11" s="246">
        <v>0</v>
      </c>
      <c r="B11" s="246" t="s">
        <v>1232</v>
      </c>
      <c r="C11" t="s">
        <v>1289</v>
      </c>
      <c r="D11" s="246" t="s">
        <v>376</v>
      </c>
      <c r="E11" s="415">
        <v>46035</v>
      </c>
      <c r="F11" s="415">
        <v>45673</v>
      </c>
      <c r="G11" s="268">
        <v>1</v>
      </c>
      <c r="H11" s="269"/>
      <c r="I11" s="502"/>
      <c r="J11" s="480"/>
      <c r="K11" s="473"/>
      <c r="L11" s="473"/>
      <c r="M11" s="473"/>
      <c r="N11" s="473"/>
      <c r="O11" s="473"/>
      <c r="P11" s="473"/>
      <c r="Q11" s="473"/>
      <c r="R11" s="501"/>
      <c r="S11" s="513"/>
      <c r="T11" s="473"/>
      <c r="U11" s="473"/>
      <c r="V11" s="473"/>
      <c r="W11" s="473"/>
      <c r="X11" s="473"/>
      <c r="Y11" s="473"/>
      <c r="Z11" s="473"/>
      <c r="AA11" s="473"/>
      <c r="AB11" s="473"/>
      <c r="AC11" s="473"/>
      <c r="AD11" s="473"/>
      <c r="AE11" s="473"/>
      <c r="AF11" s="473"/>
      <c r="AG11" s="473"/>
      <c r="AH11" s="473"/>
      <c r="AI11" s="473"/>
      <c r="AJ11" s="473"/>
      <c r="AK11" s="473"/>
      <c r="AL11" s="473"/>
      <c r="AM11" s="327"/>
      <c r="AN11" s="277"/>
      <c r="AO11" s="277"/>
      <c r="AP11" s="277"/>
      <c r="AQ11" s="277"/>
      <c r="AR11" s="277"/>
      <c r="AS11" s="277"/>
      <c r="AT11" s="277"/>
      <c r="AU11" s="277"/>
      <c r="AV11" s="277"/>
      <c r="AW11" s="277"/>
      <c r="AX11" s="277"/>
      <c r="AY11" s="277"/>
      <c r="AZ11" s="277"/>
      <c r="BA11" s="277"/>
      <c r="BB11" s="277"/>
      <c r="BC11" s="277"/>
      <c r="BD11" s="277"/>
      <c r="BE11" s="277"/>
      <c r="BF11" s="277"/>
      <c r="BG11" s="277"/>
      <c r="BH11" s="277"/>
      <c r="BI11" s="277"/>
      <c r="BJ11" s="277"/>
      <c r="BK11" s="277"/>
      <c r="BL11" s="277"/>
      <c r="BM11" s="277"/>
      <c r="BN11" s="277"/>
      <c r="BO11" s="277"/>
      <c r="BP11" s="277"/>
      <c r="BQ11" s="277"/>
      <c r="BR11" s="277"/>
      <c r="BS11" s="277"/>
      <c r="BT11" s="277"/>
      <c r="BU11" s="277"/>
      <c r="BV11" s="277"/>
      <c r="BW11" s="277"/>
      <c r="BX11" s="277"/>
      <c r="BY11" s="277"/>
      <c r="BZ11" s="277"/>
      <c r="CA11" s="277"/>
      <c r="CB11" s="277"/>
      <c r="CC11" s="277"/>
      <c r="CD11" s="277"/>
      <c r="CE11" s="277"/>
      <c r="CF11" s="277"/>
      <c r="CG11" s="277"/>
      <c r="CH11" s="277"/>
      <c r="CI11" s="277"/>
      <c r="CJ11" s="277"/>
      <c r="CK11" s="277"/>
      <c r="CL11" s="277"/>
      <c r="CM11" s="277"/>
      <c r="CN11" s="277"/>
      <c r="CO11" s="277"/>
      <c r="CP11" s="277"/>
      <c r="CQ11" s="277"/>
      <c r="CR11" s="277"/>
      <c r="CS11" s="277"/>
      <c r="CT11" s="277"/>
    </row>
    <row r="12" spans="1:98">
      <c r="A12" s="246">
        <v>0</v>
      </c>
      <c r="B12" s="246" t="s">
        <v>1232</v>
      </c>
      <c r="C12" s="246" t="s">
        <v>1290</v>
      </c>
      <c r="D12" s="246" t="s">
        <v>376</v>
      </c>
      <c r="E12" s="415">
        <v>45673</v>
      </c>
      <c r="F12" s="246"/>
      <c r="G12" s="268"/>
      <c r="H12" s="269"/>
      <c r="I12" s="502"/>
      <c r="J12" s="473"/>
      <c r="K12" s="473"/>
      <c r="L12" s="473"/>
      <c r="M12" s="525"/>
      <c r="N12" s="525"/>
      <c r="O12" s="525"/>
      <c r="P12" s="525"/>
      <c r="Q12" s="525"/>
      <c r="R12" s="501"/>
      <c r="S12" s="513"/>
      <c r="T12" s="473"/>
      <c r="U12" s="473"/>
      <c r="V12" s="473"/>
      <c r="W12" s="473"/>
      <c r="X12" s="473"/>
      <c r="Y12" s="473"/>
      <c r="Z12" s="473"/>
      <c r="AA12" s="473"/>
      <c r="AB12" s="473"/>
      <c r="AC12" s="473"/>
      <c r="AD12" s="473"/>
      <c r="AE12" s="473"/>
      <c r="AF12" s="473"/>
      <c r="AG12" s="473"/>
      <c r="AH12" s="473"/>
      <c r="AI12" s="473"/>
      <c r="AJ12" s="473"/>
      <c r="AK12" s="473"/>
      <c r="AL12" s="473"/>
      <c r="AM12" s="327"/>
      <c r="AN12" s="277"/>
      <c r="AO12" s="277"/>
      <c r="AP12" s="277"/>
      <c r="AQ12" s="277"/>
      <c r="AR12" s="277"/>
      <c r="AS12" s="277"/>
      <c r="AT12" s="277"/>
      <c r="AU12" s="277"/>
      <c r="AV12" s="277"/>
      <c r="AW12" s="277"/>
      <c r="AX12" s="277"/>
      <c r="AY12" s="277"/>
      <c r="AZ12" s="277"/>
      <c r="BA12" s="277"/>
      <c r="BB12" s="277"/>
      <c r="BC12" s="277"/>
      <c r="BD12" s="277"/>
      <c r="BE12" s="277"/>
      <c r="BF12" s="277"/>
      <c r="BG12" s="277"/>
      <c r="BH12" s="277"/>
      <c r="BI12" s="277"/>
      <c r="BJ12" s="277"/>
      <c r="BK12" s="277"/>
      <c r="BL12" s="277"/>
      <c r="BM12" s="277"/>
      <c r="BN12" s="277"/>
      <c r="BO12" s="277"/>
      <c r="BP12" s="277"/>
      <c r="BQ12" s="277"/>
      <c r="BR12" s="277"/>
      <c r="BS12" s="277"/>
      <c r="BT12" s="277"/>
      <c r="BU12" s="277"/>
      <c r="BV12" s="277"/>
      <c r="BW12" s="277"/>
      <c r="BX12" s="277"/>
      <c r="BY12" s="277"/>
      <c r="BZ12" s="277"/>
      <c r="CA12" s="277"/>
      <c r="CB12" s="277"/>
      <c r="CC12" s="277"/>
      <c r="CD12" s="277"/>
      <c r="CE12" s="277"/>
      <c r="CF12" s="277"/>
      <c r="CG12" s="277"/>
      <c r="CH12" s="277"/>
      <c r="CI12" s="277"/>
      <c r="CJ12" s="277"/>
      <c r="CK12" s="277"/>
      <c r="CL12" s="277"/>
      <c r="CM12" s="277"/>
      <c r="CN12" s="277"/>
      <c r="CO12" s="277"/>
      <c r="CP12" s="277"/>
      <c r="CQ12" s="277"/>
      <c r="CR12" s="277"/>
      <c r="CS12" s="277"/>
      <c r="CT12" s="277"/>
    </row>
    <row r="13" spans="1:98">
      <c r="A13" s="246">
        <v>0</v>
      </c>
      <c r="B13" s="246" t="s">
        <v>1232</v>
      </c>
      <c r="C13" s="246" t="s">
        <v>1291</v>
      </c>
      <c r="D13" s="246" t="s">
        <v>1280</v>
      </c>
      <c r="E13" s="246"/>
      <c r="F13" s="246"/>
      <c r="G13" s="268"/>
      <c r="H13" s="269"/>
      <c r="I13" s="504"/>
      <c r="J13" s="505"/>
      <c r="K13" s="505"/>
      <c r="L13" s="505"/>
      <c r="M13" s="505"/>
      <c r="N13" s="505"/>
      <c r="O13" s="505"/>
      <c r="P13" s="505"/>
      <c r="Q13" s="505"/>
      <c r="R13" s="519"/>
      <c r="S13" s="514"/>
      <c r="T13" s="508"/>
      <c r="U13" s="508"/>
      <c r="V13" s="508"/>
      <c r="W13" s="508"/>
      <c r="X13" s="508"/>
      <c r="Y13" s="508"/>
      <c r="Z13" s="508"/>
      <c r="AA13" s="508"/>
      <c r="AB13" s="508"/>
      <c r="AC13" s="473"/>
      <c r="AD13" s="473"/>
      <c r="AE13" s="473"/>
      <c r="AF13" s="473"/>
      <c r="AG13" s="473"/>
      <c r="AH13" s="473"/>
      <c r="AI13" s="473"/>
      <c r="AJ13" s="473"/>
      <c r="AK13" s="473"/>
      <c r="AL13" s="473"/>
      <c r="AM13" s="327"/>
      <c r="AN13" s="277"/>
      <c r="AO13" s="277"/>
      <c r="AP13" s="277"/>
      <c r="AQ13" s="277"/>
      <c r="AR13" s="277"/>
      <c r="AS13" s="277"/>
      <c r="AT13" s="277"/>
      <c r="AU13" s="277"/>
      <c r="AV13" s="277"/>
      <c r="AW13" s="277"/>
      <c r="AX13" s="277"/>
      <c r="AY13" s="277"/>
      <c r="AZ13" s="277"/>
      <c r="BA13" s="277"/>
      <c r="BB13" s="277"/>
      <c r="BC13" s="277"/>
      <c r="BD13" s="277"/>
      <c r="BE13" s="277"/>
      <c r="BF13" s="277"/>
      <c r="BG13" s="277"/>
      <c r="BH13" s="277"/>
      <c r="BI13" s="277"/>
      <c r="BJ13" s="277"/>
      <c r="BK13" s="277"/>
      <c r="BL13" s="277"/>
      <c r="BM13" s="277"/>
      <c r="BN13" s="277"/>
      <c r="BO13" s="277"/>
      <c r="BP13" s="277"/>
      <c r="BQ13" s="277"/>
      <c r="BR13" s="277"/>
      <c r="BS13" s="277"/>
      <c r="BT13" s="277"/>
      <c r="BU13" s="277"/>
      <c r="BV13" s="277"/>
      <c r="BW13" s="277"/>
      <c r="BX13" s="277"/>
      <c r="BY13" s="277"/>
      <c r="BZ13" s="277"/>
      <c r="CA13" s="277"/>
      <c r="CB13" s="277"/>
      <c r="CC13" s="277"/>
      <c r="CD13" s="277"/>
      <c r="CE13" s="277"/>
      <c r="CF13" s="277"/>
      <c r="CG13" s="277"/>
      <c r="CH13" s="277"/>
      <c r="CI13" s="277"/>
      <c r="CJ13" s="277"/>
      <c r="CK13" s="277"/>
      <c r="CL13" s="277"/>
      <c r="CM13" s="277"/>
      <c r="CN13" s="277"/>
      <c r="CO13" s="277"/>
      <c r="CP13" s="277"/>
      <c r="CQ13" s="277"/>
      <c r="CR13" s="277"/>
      <c r="CS13" s="277"/>
      <c r="CT13" s="277"/>
    </row>
    <row r="14" spans="1:98">
      <c r="A14" s="297">
        <v>1</v>
      </c>
      <c r="B14" s="297" t="s">
        <v>1278</v>
      </c>
      <c r="C14" s="297" t="s">
        <v>369</v>
      </c>
      <c r="D14" s="298" t="s">
        <v>1293</v>
      </c>
      <c r="E14" s="297" t="s">
        <v>1281</v>
      </c>
      <c r="F14" s="297" t="s">
        <v>1281</v>
      </c>
      <c r="G14" s="297"/>
      <c r="H14" s="299"/>
      <c r="I14" s="521"/>
      <c r="J14" s="521"/>
      <c r="K14" s="521"/>
      <c r="L14" s="521"/>
      <c r="M14" s="521"/>
      <c r="N14" s="521"/>
      <c r="O14" s="521"/>
      <c r="P14" s="521"/>
      <c r="Q14" s="521"/>
      <c r="R14" s="522"/>
      <c r="S14" s="574" t="s">
        <v>1294</v>
      </c>
      <c r="T14" s="575"/>
      <c r="U14" s="575"/>
      <c r="V14" s="575"/>
      <c r="W14" s="575"/>
      <c r="X14" s="575"/>
      <c r="Y14" s="575"/>
      <c r="Z14" s="575"/>
      <c r="AA14" s="575"/>
      <c r="AB14" s="576"/>
      <c r="AC14" s="512"/>
      <c r="AD14" s="474"/>
      <c r="AE14" s="474"/>
      <c r="AF14" s="474"/>
      <c r="AG14" s="474"/>
      <c r="AH14" s="474"/>
      <c r="AI14" s="474"/>
      <c r="AJ14" s="474"/>
      <c r="AK14" s="474"/>
      <c r="AL14" s="474"/>
      <c r="AM14" s="485"/>
      <c r="AN14" s="307"/>
      <c r="AO14" s="307"/>
      <c r="AP14" s="307"/>
      <c r="AQ14" s="307"/>
      <c r="AR14" s="307"/>
      <c r="AS14" s="307"/>
      <c r="AT14" s="307"/>
      <c r="AU14" s="307"/>
      <c r="AV14" s="307"/>
      <c r="AW14" s="307"/>
      <c r="AX14" s="307"/>
      <c r="AY14" s="307"/>
      <c r="AZ14" s="307"/>
      <c r="BA14" s="307"/>
      <c r="BB14" s="307"/>
      <c r="BC14" s="307"/>
      <c r="BD14" s="307"/>
      <c r="BE14" s="307"/>
      <c r="BF14" s="307"/>
      <c r="BG14" s="307"/>
      <c r="BH14" s="307"/>
      <c r="BI14" s="307"/>
      <c r="BJ14" s="307"/>
      <c r="BK14" s="307"/>
      <c r="BL14" s="307"/>
      <c r="BM14" s="307"/>
      <c r="BN14" s="307"/>
      <c r="BO14" s="307"/>
      <c r="BP14" s="307"/>
      <c r="BQ14" s="307"/>
      <c r="BR14" s="307"/>
      <c r="BS14" s="307"/>
      <c r="BT14" s="307"/>
      <c r="BU14" s="307"/>
      <c r="BV14" s="307"/>
      <c r="BW14" s="307"/>
      <c r="BX14" s="307"/>
      <c r="BY14" s="307"/>
      <c r="BZ14" s="307"/>
      <c r="CA14" s="307"/>
      <c r="CB14" s="307"/>
      <c r="CC14" s="307"/>
      <c r="CD14" s="307"/>
      <c r="CE14" s="307"/>
      <c r="CF14" s="307"/>
      <c r="CG14" s="307"/>
      <c r="CH14" s="307"/>
      <c r="CI14" s="307"/>
      <c r="CJ14" s="307"/>
      <c r="CK14" s="307"/>
      <c r="CL14" s="307"/>
      <c r="CM14" s="307"/>
      <c r="CN14" s="307"/>
      <c r="CO14" s="307"/>
      <c r="CP14" s="307"/>
      <c r="CQ14" s="307"/>
      <c r="CR14" s="307"/>
      <c r="CS14" s="307"/>
      <c r="CT14" s="307"/>
    </row>
    <row r="15" spans="1:98">
      <c r="A15" s="246">
        <v>1</v>
      </c>
      <c r="B15" s="246" t="s">
        <v>1232</v>
      </c>
      <c r="C15" s="246" t="s">
        <v>1295</v>
      </c>
      <c r="D15" t="s">
        <v>376</v>
      </c>
      <c r="F15" s="246"/>
      <c r="G15" s="268">
        <v>3</v>
      </c>
      <c r="H15" s="269"/>
      <c r="I15" s="473"/>
      <c r="J15" s="473"/>
      <c r="K15" s="473"/>
      <c r="L15" s="473"/>
      <c r="M15" s="473"/>
      <c r="N15" s="473"/>
      <c r="O15" s="473"/>
      <c r="P15" s="473"/>
      <c r="Q15" s="473"/>
      <c r="R15" s="507"/>
      <c r="S15" s="510"/>
      <c r="T15" s="475"/>
      <c r="U15" s="475"/>
      <c r="V15" s="473"/>
      <c r="W15" s="473"/>
      <c r="X15" s="473"/>
      <c r="Y15" s="473"/>
      <c r="Z15" s="473"/>
      <c r="AA15" s="473"/>
      <c r="AB15" s="501"/>
      <c r="AC15" s="513"/>
      <c r="AD15" s="473"/>
      <c r="AE15" s="473"/>
      <c r="AF15" s="473"/>
      <c r="AG15" s="473"/>
      <c r="AH15" s="473"/>
      <c r="AI15" s="473"/>
      <c r="AJ15" s="473"/>
      <c r="AK15" s="473"/>
      <c r="AL15" s="473"/>
      <c r="AM15" s="327"/>
      <c r="AN15" s="277"/>
      <c r="AO15" s="277"/>
      <c r="AP15" s="277"/>
      <c r="AQ15" s="277"/>
      <c r="AR15" s="277"/>
      <c r="AS15" s="277"/>
      <c r="AT15" s="277"/>
      <c r="AU15" s="277"/>
      <c r="AV15" s="277"/>
      <c r="AW15" s="277"/>
      <c r="AX15" s="277"/>
      <c r="AY15" s="277"/>
      <c r="AZ15" s="277"/>
      <c r="BA15" s="277"/>
      <c r="BB15" s="277"/>
      <c r="BC15" s="277"/>
      <c r="BD15" s="277"/>
      <c r="BE15" s="277"/>
      <c r="BF15" s="277"/>
      <c r="BG15" s="277"/>
      <c r="BH15" s="277"/>
      <c r="BI15" s="277"/>
      <c r="BJ15" s="277"/>
      <c r="BK15" s="277"/>
      <c r="BL15" s="277"/>
      <c r="BM15" s="277"/>
      <c r="BN15" s="277"/>
      <c r="BO15" s="277"/>
      <c r="BP15" s="277"/>
      <c r="BQ15" s="277"/>
      <c r="BR15" s="277"/>
      <c r="BS15" s="277"/>
      <c r="BT15" s="277"/>
      <c r="BU15" s="277"/>
      <c r="BV15" s="277"/>
      <c r="BW15" s="277"/>
      <c r="BX15" s="277"/>
      <c r="BY15" s="277"/>
      <c r="BZ15" s="277"/>
      <c r="CA15" s="277"/>
      <c r="CB15" s="277"/>
      <c r="CC15" s="277"/>
      <c r="CD15" s="277"/>
      <c r="CE15" s="277"/>
      <c r="CF15" s="277"/>
      <c r="CG15" s="277"/>
      <c r="CH15" s="277"/>
      <c r="CI15" s="277"/>
      <c r="CJ15" s="277"/>
      <c r="CK15" s="277"/>
      <c r="CL15" s="277"/>
      <c r="CM15" s="277"/>
      <c r="CN15" s="277"/>
      <c r="CO15" s="277"/>
      <c r="CP15" s="277"/>
      <c r="CQ15" s="277"/>
      <c r="CR15" s="277"/>
      <c r="CS15" s="277"/>
      <c r="CT15" s="277"/>
    </row>
    <row r="16" spans="1:98">
      <c r="A16" s="246">
        <v>1</v>
      </c>
      <c r="B16" s="246" t="s">
        <v>1232</v>
      </c>
      <c r="C16" s="246" t="s">
        <v>1296</v>
      </c>
      <c r="D16" t="s">
        <v>376</v>
      </c>
      <c r="F16" s="246"/>
      <c r="G16" s="268">
        <v>3</v>
      </c>
      <c r="H16" s="269"/>
      <c r="I16" s="473"/>
      <c r="J16" s="473"/>
      <c r="K16" s="473"/>
      <c r="L16" s="473"/>
      <c r="M16" s="473"/>
      <c r="N16" s="473"/>
      <c r="O16" s="473"/>
      <c r="P16" s="473"/>
      <c r="Q16" s="473"/>
      <c r="R16" s="507"/>
      <c r="S16" s="502"/>
      <c r="T16" s="473"/>
      <c r="U16" s="473"/>
      <c r="V16" s="475"/>
      <c r="W16" s="475"/>
      <c r="X16" s="475"/>
      <c r="Y16" s="473"/>
      <c r="Z16" s="473"/>
      <c r="AA16" s="473"/>
      <c r="AB16" s="501"/>
      <c r="AC16" s="513"/>
      <c r="AD16" s="473"/>
      <c r="AE16" s="473"/>
      <c r="AF16" s="473"/>
      <c r="AG16" s="473"/>
      <c r="AH16" s="473"/>
      <c r="AI16" s="473"/>
      <c r="AJ16" s="473"/>
      <c r="AK16" s="473"/>
      <c r="AL16" s="473"/>
      <c r="AM16" s="327"/>
      <c r="AN16" s="277"/>
      <c r="AO16" s="277"/>
      <c r="AP16" s="277"/>
      <c r="AQ16" s="277"/>
      <c r="AR16" s="277"/>
      <c r="AS16" s="277"/>
      <c r="AT16" s="277"/>
      <c r="AU16" s="277"/>
      <c r="AV16" s="277"/>
      <c r="AW16" s="277"/>
      <c r="AX16" s="277"/>
      <c r="AY16" s="277"/>
      <c r="AZ16" s="277"/>
      <c r="BA16" s="277"/>
      <c r="BB16" s="277"/>
      <c r="BC16" s="277"/>
      <c r="BD16" s="277"/>
      <c r="BE16" s="277"/>
      <c r="BF16" s="277"/>
      <c r="BG16" s="277"/>
      <c r="BH16" s="277"/>
      <c r="BI16" s="277"/>
      <c r="BJ16" s="277"/>
      <c r="BK16" s="277"/>
      <c r="BL16" s="277"/>
      <c r="BM16" s="277"/>
      <c r="BN16" s="277"/>
      <c r="BO16" s="277"/>
      <c r="BP16" s="277"/>
      <c r="BQ16" s="277"/>
      <c r="BR16" s="277"/>
      <c r="BS16" s="277"/>
      <c r="BT16" s="277"/>
      <c r="BU16" s="277"/>
      <c r="BV16" s="277"/>
      <c r="BW16" s="277"/>
      <c r="BX16" s="277"/>
      <c r="BY16" s="277"/>
      <c r="BZ16" s="277"/>
      <c r="CA16" s="277"/>
      <c r="CB16" s="277"/>
      <c r="CC16" s="277"/>
      <c r="CD16" s="277"/>
      <c r="CE16" s="277"/>
      <c r="CF16" s="277"/>
      <c r="CG16" s="277"/>
      <c r="CH16" s="277"/>
      <c r="CI16" s="277"/>
      <c r="CJ16" s="277"/>
      <c r="CK16" s="277"/>
      <c r="CL16" s="277"/>
      <c r="CM16" s="277"/>
      <c r="CN16" s="277"/>
      <c r="CO16" s="277"/>
      <c r="CP16" s="277"/>
      <c r="CQ16" s="277"/>
      <c r="CR16" s="277"/>
      <c r="CS16" s="277"/>
      <c r="CT16" s="277"/>
    </row>
    <row r="17" spans="1:98">
      <c r="A17" s="246">
        <v>1</v>
      </c>
      <c r="B17" s="246" t="s">
        <v>1232</v>
      </c>
      <c r="C17" s="246" t="s">
        <v>1297</v>
      </c>
      <c r="D17" t="s">
        <v>376</v>
      </c>
      <c r="F17" s="246"/>
      <c r="G17" s="268">
        <v>3</v>
      </c>
      <c r="H17" s="269"/>
      <c r="I17" s="473"/>
      <c r="J17" s="473"/>
      <c r="K17" s="473"/>
      <c r="L17" s="473"/>
      <c r="M17" s="473"/>
      <c r="N17" s="473"/>
      <c r="O17" s="473"/>
      <c r="P17" s="473"/>
      <c r="Q17" s="473"/>
      <c r="R17" s="507"/>
      <c r="S17" s="502"/>
      <c r="T17" s="473"/>
      <c r="U17" s="473"/>
      <c r="V17" s="475"/>
      <c r="W17" s="475"/>
      <c r="X17" s="475"/>
      <c r="Y17" s="473"/>
      <c r="Z17" s="473"/>
      <c r="AA17" s="473"/>
      <c r="AB17" s="501"/>
      <c r="AC17" s="513"/>
      <c r="AD17" s="473"/>
      <c r="AE17" s="473"/>
      <c r="AF17" s="473"/>
      <c r="AG17" s="473"/>
      <c r="AH17" s="473"/>
      <c r="AI17" s="473"/>
      <c r="AJ17" s="473"/>
      <c r="AK17" s="473"/>
      <c r="AL17" s="473"/>
      <c r="AM17" s="327"/>
      <c r="AN17" s="277"/>
      <c r="AO17" s="277"/>
      <c r="AP17" s="277"/>
      <c r="AQ17" s="277"/>
      <c r="AR17" s="277"/>
      <c r="AS17" s="277"/>
      <c r="AT17" s="277"/>
      <c r="AU17" s="277"/>
      <c r="AV17" s="277"/>
      <c r="AW17" s="277"/>
      <c r="AX17" s="277"/>
      <c r="AY17" s="277"/>
      <c r="AZ17" s="277"/>
      <c r="BA17" s="277"/>
      <c r="BB17" s="277"/>
      <c r="BC17" s="277"/>
      <c r="BD17" s="277"/>
      <c r="BE17" s="277"/>
      <c r="BF17" s="277"/>
      <c r="BG17" s="277"/>
      <c r="BH17" s="277"/>
      <c r="BI17" s="277"/>
      <c r="BJ17" s="277"/>
      <c r="BK17" s="277"/>
      <c r="BL17" s="277"/>
      <c r="BM17" s="277"/>
      <c r="BN17" s="277"/>
      <c r="BO17" s="277"/>
      <c r="BP17" s="277"/>
      <c r="BQ17" s="277"/>
      <c r="BR17" s="277"/>
      <c r="BS17" s="277"/>
      <c r="BT17" s="277"/>
      <c r="BU17" s="277"/>
      <c r="BV17" s="277"/>
      <c r="BW17" s="277"/>
      <c r="BX17" s="277"/>
      <c r="BY17" s="277"/>
      <c r="BZ17" s="277"/>
      <c r="CA17" s="277"/>
      <c r="CB17" s="277"/>
      <c r="CC17" s="277"/>
      <c r="CD17" s="277"/>
      <c r="CE17" s="277"/>
      <c r="CF17" s="277"/>
      <c r="CG17" s="277"/>
      <c r="CH17" s="277"/>
      <c r="CI17" s="277"/>
      <c r="CJ17" s="277"/>
      <c r="CK17" s="277"/>
      <c r="CL17" s="277"/>
      <c r="CM17" s="277"/>
      <c r="CN17" s="277"/>
      <c r="CO17" s="277"/>
      <c r="CP17" s="277"/>
      <c r="CQ17" s="277"/>
      <c r="CR17" s="277"/>
      <c r="CS17" s="277"/>
      <c r="CT17" s="277"/>
    </row>
    <row r="18" spans="1:98">
      <c r="A18">
        <v>1</v>
      </c>
      <c r="B18" t="s">
        <v>1232</v>
      </c>
      <c r="C18" s="246" t="s">
        <v>59</v>
      </c>
      <c r="D18" t="s">
        <v>376</v>
      </c>
      <c r="F18" s="246"/>
      <c r="G18" s="268">
        <v>2</v>
      </c>
      <c r="H18" s="269"/>
      <c r="I18" s="473"/>
      <c r="J18" s="473"/>
      <c r="K18" s="473"/>
      <c r="L18" s="473"/>
      <c r="M18" s="473"/>
      <c r="N18" s="473"/>
      <c r="O18" s="473"/>
      <c r="P18" s="473"/>
      <c r="Q18" s="473"/>
      <c r="R18" s="507"/>
      <c r="S18" s="502"/>
      <c r="T18" s="473"/>
      <c r="U18" s="473"/>
      <c r="V18" s="473"/>
      <c r="W18" s="473"/>
      <c r="X18" s="473"/>
      <c r="Y18" s="475"/>
      <c r="Z18" s="475"/>
      <c r="AA18" s="473"/>
      <c r="AB18" s="501"/>
      <c r="AC18" s="513"/>
      <c r="AD18" s="473"/>
      <c r="AE18" s="473"/>
      <c r="AF18" s="473"/>
      <c r="AG18" s="473"/>
      <c r="AH18" s="473"/>
      <c r="AI18" s="473"/>
      <c r="AJ18" s="473"/>
      <c r="AK18" s="473"/>
      <c r="AL18" s="473"/>
      <c r="AM18" s="327"/>
      <c r="AN18" s="277"/>
      <c r="AO18" s="277"/>
      <c r="AP18" s="277"/>
      <c r="AQ18" s="277"/>
      <c r="AR18" s="277"/>
      <c r="AS18" s="277"/>
      <c r="AT18" s="277"/>
      <c r="AU18" s="277"/>
      <c r="AV18" s="277"/>
      <c r="AW18" s="277"/>
      <c r="AX18" s="277"/>
      <c r="AY18" s="277"/>
      <c r="AZ18" s="277"/>
      <c r="BA18" s="277"/>
      <c r="BB18" s="277"/>
      <c r="BC18" s="277"/>
      <c r="BD18" s="277"/>
      <c r="BE18" s="277"/>
      <c r="BF18" s="277"/>
      <c r="BG18" s="277"/>
      <c r="BH18" s="277"/>
      <c r="BI18" s="277"/>
      <c r="BJ18" s="277"/>
      <c r="BK18" s="277"/>
      <c r="BL18" s="277"/>
      <c r="BM18" s="277"/>
      <c r="BN18" s="277"/>
      <c r="BO18" s="277"/>
      <c r="BP18" s="277"/>
      <c r="BQ18" s="277"/>
      <c r="BR18" s="277"/>
      <c r="BS18" s="277"/>
      <c r="BT18" s="277"/>
      <c r="BU18" s="277"/>
      <c r="BV18" s="277"/>
      <c r="BW18" s="277"/>
      <c r="BX18" s="277"/>
      <c r="BY18" s="277"/>
      <c r="BZ18" s="277"/>
      <c r="CA18" s="277"/>
      <c r="CB18" s="277"/>
      <c r="CC18" s="277"/>
      <c r="CD18" s="277"/>
      <c r="CE18" s="277"/>
      <c r="CF18" s="277"/>
      <c r="CG18" s="277"/>
      <c r="CH18" s="277"/>
      <c r="CI18" s="277"/>
      <c r="CJ18" s="277"/>
      <c r="CK18" s="277"/>
      <c r="CL18" s="277"/>
      <c r="CM18" s="277"/>
      <c r="CN18" s="277"/>
      <c r="CO18" s="277"/>
      <c r="CP18" s="277"/>
      <c r="CQ18" s="277"/>
      <c r="CR18" s="277"/>
      <c r="CS18" s="277"/>
      <c r="CT18" s="277"/>
    </row>
    <row r="19" spans="1:98">
      <c r="A19" s="246">
        <v>1</v>
      </c>
      <c r="B19" s="246" t="s">
        <v>1232</v>
      </c>
      <c r="C19" s="246" t="s">
        <v>1346</v>
      </c>
      <c r="D19" s="246" t="s">
        <v>1280</v>
      </c>
      <c r="E19" s="246"/>
      <c r="F19" s="246"/>
      <c r="G19" s="268">
        <v>9</v>
      </c>
      <c r="H19" s="269"/>
      <c r="I19" s="473"/>
      <c r="J19" s="473"/>
      <c r="K19" s="473"/>
      <c r="L19" s="473"/>
      <c r="M19" s="473"/>
      <c r="N19" s="473"/>
      <c r="O19" s="473"/>
      <c r="P19" s="473"/>
      <c r="Q19" s="473"/>
      <c r="R19" s="507"/>
      <c r="S19" s="510"/>
      <c r="T19" s="475"/>
      <c r="U19" s="475"/>
      <c r="V19" s="475"/>
      <c r="W19" s="475"/>
      <c r="X19" s="475"/>
      <c r="Y19" s="475"/>
      <c r="Z19" s="475"/>
      <c r="AA19" s="475"/>
      <c r="AB19" s="501"/>
      <c r="AC19" s="513"/>
      <c r="AD19" s="473"/>
      <c r="AE19" s="473"/>
      <c r="AF19" s="473"/>
      <c r="AG19" s="473"/>
      <c r="AH19" s="473"/>
      <c r="AI19" s="473"/>
      <c r="AJ19" s="473"/>
      <c r="AK19" s="473"/>
      <c r="AL19" s="473"/>
      <c r="AM19" s="327"/>
      <c r="AN19" s="277"/>
      <c r="AO19" s="277"/>
      <c r="AP19" s="277"/>
      <c r="AQ19" s="277"/>
      <c r="AR19" s="277"/>
      <c r="AS19" s="277"/>
      <c r="AT19" s="277"/>
      <c r="AU19" s="277"/>
      <c r="AV19" s="277"/>
      <c r="AW19" s="277"/>
      <c r="AX19" s="277"/>
      <c r="AY19" s="277"/>
      <c r="AZ19" s="277"/>
      <c r="BA19" s="277"/>
      <c r="BB19" s="277"/>
      <c r="BC19" s="277"/>
      <c r="BD19" s="277"/>
      <c r="BE19" s="277"/>
      <c r="BF19" s="277"/>
      <c r="BG19" s="277"/>
      <c r="BH19" s="277"/>
      <c r="BI19" s="277"/>
      <c r="BJ19" s="277"/>
      <c r="BK19" s="277"/>
      <c r="BL19" s="277"/>
      <c r="BM19" s="277"/>
      <c r="BN19" s="277"/>
      <c r="BO19" s="277"/>
      <c r="BP19" s="277"/>
      <c r="BQ19" s="277"/>
      <c r="BR19" s="277"/>
      <c r="BS19" s="277"/>
      <c r="BT19" s="277"/>
      <c r="BU19" s="277"/>
      <c r="BV19" s="277"/>
      <c r="BW19" s="277"/>
      <c r="BX19" s="277"/>
      <c r="BY19" s="277"/>
      <c r="BZ19" s="277"/>
      <c r="CA19" s="277"/>
      <c r="CB19" s="277"/>
      <c r="CC19" s="277"/>
      <c r="CD19" s="277"/>
      <c r="CE19" s="277"/>
      <c r="CF19" s="277"/>
      <c r="CG19" s="277"/>
      <c r="CH19" s="277"/>
      <c r="CI19" s="277"/>
      <c r="CJ19" s="277"/>
      <c r="CK19" s="277"/>
      <c r="CL19" s="277"/>
      <c r="CM19" s="277"/>
      <c r="CN19" s="277"/>
      <c r="CO19" s="277"/>
      <c r="CP19" s="277"/>
      <c r="CQ19" s="277"/>
      <c r="CR19" s="277"/>
      <c r="CS19" s="277"/>
      <c r="CT19" s="277"/>
    </row>
    <row r="20" spans="1:98">
      <c r="A20" s="246">
        <v>1</v>
      </c>
      <c r="B20" s="246" t="s">
        <v>1232</v>
      </c>
      <c r="C20" s="246" t="s">
        <v>1300</v>
      </c>
      <c r="D20" s="246" t="s">
        <v>1280</v>
      </c>
      <c r="E20" s="246"/>
      <c r="F20" s="246"/>
      <c r="G20" s="268">
        <v>1</v>
      </c>
      <c r="H20" s="269"/>
      <c r="I20" s="473"/>
      <c r="J20" s="473"/>
      <c r="K20" s="473"/>
      <c r="L20" s="473"/>
      <c r="M20" s="473"/>
      <c r="N20" s="473"/>
      <c r="O20" s="473"/>
      <c r="P20" s="473"/>
      <c r="Q20" s="473"/>
      <c r="R20" s="507"/>
      <c r="S20" s="504"/>
      <c r="T20" s="505"/>
      <c r="U20" s="505"/>
      <c r="V20" s="505"/>
      <c r="W20" s="505"/>
      <c r="X20" s="505"/>
      <c r="Y20" s="505"/>
      <c r="Z20" s="505"/>
      <c r="AA20" s="505"/>
      <c r="AB20" s="511"/>
      <c r="AC20" s="514"/>
      <c r="AD20" s="508"/>
      <c r="AE20" s="508"/>
      <c r="AF20" s="508"/>
      <c r="AG20" s="508"/>
      <c r="AH20" s="508"/>
      <c r="AI20" s="508"/>
      <c r="AJ20" s="508"/>
      <c r="AK20" s="508"/>
      <c r="AL20" s="508"/>
      <c r="AM20" s="327"/>
      <c r="AN20" s="277"/>
      <c r="AO20" s="277"/>
      <c r="AP20" s="277"/>
      <c r="AQ20" s="277"/>
      <c r="AR20" s="277"/>
      <c r="AS20" s="277"/>
      <c r="AT20" s="277"/>
      <c r="AU20" s="277"/>
      <c r="AV20" s="277"/>
      <c r="AW20" s="277"/>
      <c r="AX20" s="277"/>
      <c r="AY20" s="277"/>
      <c r="AZ20" s="277"/>
      <c r="BA20" s="277"/>
      <c r="BB20" s="277"/>
      <c r="BC20" s="277"/>
      <c r="BD20" s="277"/>
      <c r="BE20" s="277"/>
      <c r="BF20" s="277"/>
      <c r="BG20" s="277"/>
      <c r="BH20" s="277"/>
      <c r="BI20" s="277"/>
      <c r="BJ20" s="277"/>
      <c r="BK20" s="277"/>
      <c r="BL20" s="277"/>
      <c r="BM20" s="277"/>
      <c r="BN20" s="277"/>
      <c r="BO20" s="277"/>
      <c r="BP20" s="277"/>
      <c r="BQ20" s="277"/>
      <c r="BR20" s="277"/>
      <c r="BS20" s="277"/>
      <c r="BT20" s="277"/>
      <c r="BU20" s="277"/>
      <c r="BV20" s="277"/>
      <c r="BW20" s="277"/>
      <c r="BX20" s="277"/>
      <c r="BY20" s="277"/>
      <c r="BZ20" s="277"/>
      <c r="CA20" s="277"/>
      <c r="CB20" s="277"/>
      <c r="CC20" s="277"/>
      <c r="CD20" s="277"/>
      <c r="CE20" s="277"/>
      <c r="CF20" s="277"/>
      <c r="CG20" s="277"/>
      <c r="CH20" s="277"/>
      <c r="CI20" s="277"/>
      <c r="CJ20" s="277"/>
      <c r="CK20" s="277"/>
      <c r="CL20" s="277"/>
      <c r="CM20" s="277"/>
      <c r="CN20" s="277"/>
      <c r="CO20" s="277"/>
      <c r="CP20" s="277"/>
      <c r="CQ20" s="277"/>
      <c r="CR20" s="277"/>
      <c r="CS20" s="277"/>
      <c r="CT20" s="277"/>
    </row>
    <row r="21" spans="1:98">
      <c r="A21" s="313">
        <v>2</v>
      </c>
      <c r="B21" s="313" t="s">
        <v>1278</v>
      </c>
      <c r="C21" s="313" t="s">
        <v>1301</v>
      </c>
      <c r="D21" s="314" t="s">
        <v>1280</v>
      </c>
      <c r="E21" s="313" t="s">
        <v>1281</v>
      </c>
      <c r="F21" s="313"/>
      <c r="G21" s="313"/>
      <c r="H21" s="315"/>
      <c r="I21" s="476"/>
      <c r="J21" s="476"/>
      <c r="K21" s="476"/>
      <c r="L21" s="476"/>
      <c r="M21" s="476"/>
      <c r="N21" s="476"/>
      <c r="O21" s="476"/>
      <c r="P21" s="476"/>
      <c r="Q21" s="476"/>
      <c r="R21" s="476"/>
      <c r="S21" s="515"/>
      <c r="T21" s="515"/>
      <c r="U21" s="515"/>
      <c r="V21" s="515"/>
      <c r="W21" s="515"/>
      <c r="X21" s="515"/>
      <c r="Y21" s="515"/>
      <c r="Z21" s="515"/>
      <c r="AA21" s="515"/>
      <c r="AB21" s="516"/>
      <c r="AC21" s="577" t="s">
        <v>1302</v>
      </c>
      <c r="AD21" s="578"/>
      <c r="AE21" s="578"/>
      <c r="AF21" s="578"/>
      <c r="AG21" s="578"/>
      <c r="AH21" s="578"/>
      <c r="AI21" s="578"/>
      <c r="AJ21" s="578"/>
      <c r="AK21" s="578"/>
      <c r="AL21" s="579"/>
      <c r="AM21" s="323"/>
      <c r="AN21" s="324"/>
      <c r="AO21" s="324"/>
      <c r="AP21" s="324"/>
      <c r="AQ21" s="324"/>
      <c r="AR21" s="324"/>
      <c r="AS21" s="324"/>
      <c r="AT21" s="324"/>
      <c r="AU21" s="324"/>
      <c r="AV21" s="324"/>
      <c r="AW21" s="323"/>
      <c r="AX21" s="324"/>
      <c r="AY21" s="324"/>
      <c r="AZ21" s="324"/>
      <c r="BA21" s="324"/>
      <c r="BB21" s="324"/>
      <c r="BC21" s="324"/>
      <c r="BD21" s="324"/>
      <c r="BE21" s="324"/>
      <c r="BF21" s="324"/>
      <c r="BG21" s="323"/>
      <c r="BH21" s="324"/>
      <c r="BI21" s="324"/>
      <c r="BJ21" s="324"/>
      <c r="BK21" s="324"/>
      <c r="BL21" s="324"/>
      <c r="BM21" s="324"/>
      <c r="BN21" s="324"/>
      <c r="BO21" s="324"/>
      <c r="BP21" s="324"/>
      <c r="BQ21" s="323"/>
      <c r="BR21" s="324"/>
      <c r="BS21" s="324"/>
      <c r="BT21" s="324"/>
      <c r="BU21" s="324"/>
      <c r="BV21" s="324"/>
      <c r="BW21" s="324"/>
      <c r="BX21" s="324"/>
      <c r="BY21" s="324"/>
      <c r="BZ21" s="324"/>
      <c r="CA21" s="323"/>
      <c r="CB21" s="324"/>
      <c r="CC21" s="324"/>
      <c r="CD21" s="324"/>
      <c r="CE21" s="324"/>
      <c r="CF21" s="324"/>
      <c r="CG21" s="324"/>
      <c r="CH21" s="324"/>
      <c r="CI21" s="324"/>
      <c r="CJ21" s="324"/>
      <c r="CK21" s="323"/>
      <c r="CL21" s="324"/>
      <c r="CM21" s="324"/>
      <c r="CN21" s="324"/>
      <c r="CO21" s="324"/>
      <c r="CP21" s="324"/>
      <c r="CQ21" s="324"/>
      <c r="CR21" s="324"/>
      <c r="CS21" s="324"/>
      <c r="CT21" s="324"/>
    </row>
    <row r="22" spans="1:98">
      <c r="A22" s="246">
        <v>2</v>
      </c>
      <c r="B22" s="246" t="s">
        <v>1232</v>
      </c>
      <c r="C22" s="246" t="s">
        <v>1303</v>
      </c>
      <c r="D22" s="246" t="s">
        <v>1280</v>
      </c>
      <c r="E22" s="267"/>
      <c r="F22" s="246"/>
      <c r="G22" s="268">
        <v>3</v>
      </c>
      <c r="H22" s="269"/>
      <c r="I22" s="473"/>
      <c r="J22" s="473"/>
      <c r="K22" s="473"/>
      <c r="L22" s="473"/>
      <c r="M22" s="473"/>
      <c r="N22" s="473"/>
      <c r="O22" s="473"/>
      <c r="P22" s="473"/>
      <c r="Q22" s="473"/>
      <c r="R22" s="473"/>
      <c r="S22" s="473"/>
      <c r="T22" s="473"/>
      <c r="U22" s="473"/>
      <c r="V22" s="473"/>
      <c r="W22" s="473"/>
      <c r="X22" s="473"/>
      <c r="Y22" s="473"/>
      <c r="Z22" s="473"/>
      <c r="AA22" s="473"/>
      <c r="AB22" s="507"/>
      <c r="AC22" s="500"/>
      <c r="AD22" s="477"/>
      <c r="AE22" s="477"/>
      <c r="AF22" s="473"/>
      <c r="AG22" s="473"/>
      <c r="AH22" s="473"/>
      <c r="AI22" s="473"/>
      <c r="AJ22" s="473"/>
      <c r="AK22" s="473"/>
      <c r="AL22" s="501"/>
      <c r="AM22" s="327"/>
      <c r="AN22" s="277"/>
      <c r="AO22" s="277"/>
      <c r="AP22" s="277"/>
      <c r="AQ22" s="277"/>
      <c r="AR22" s="277"/>
      <c r="AS22" s="277"/>
      <c r="AT22" s="277"/>
      <c r="AU22" s="277"/>
      <c r="AV22" s="277"/>
      <c r="AW22" s="327"/>
      <c r="AX22" s="277"/>
      <c r="AY22" s="277"/>
      <c r="AZ22" s="277"/>
      <c r="BA22" s="277"/>
      <c r="BB22" s="277"/>
      <c r="BC22" s="277"/>
      <c r="BD22" s="277"/>
      <c r="BE22" s="277"/>
      <c r="BF22" s="277"/>
      <c r="BG22" s="327"/>
      <c r="BH22" s="277"/>
      <c r="BI22" s="277"/>
      <c r="BJ22" s="277"/>
      <c r="BK22" s="277"/>
      <c r="BL22" s="277"/>
      <c r="BM22" s="277"/>
      <c r="BN22" s="277"/>
      <c r="BO22" s="277"/>
      <c r="BP22" s="277"/>
      <c r="BQ22" s="327"/>
      <c r="BR22" s="277"/>
      <c r="BS22" s="277"/>
      <c r="BT22" s="277"/>
      <c r="BU22" s="277"/>
      <c r="BV22" s="277"/>
      <c r="BW22" s="277"/>
      <c r="BX22" s="277"/>
      <c r="BY22" s="277"/>
      <c r="BZ22" s="277"/>
      <c r="CA22" s="327"/>
      <c r="CB22" s="277"/>
      <c r="CC22" s="277"/>
      <c r="CD22" s="277"/>
      <c r="CE22" s="277"/>
      <c r="CF22" s="277"/>
      <c r="CG22" s="277"/>
      <c r="CH22" s="277"/>
      <c r="CI22" s="277"/>
      <c r="CJ22" s="277"/>
      <c r="CK22" s="327"/>
      <c r="CL22" s="277"/>
      <c r="CM22" s="277"/>
      <c r="CN22" s="277"/>
      <c r="CO22" s="277"/>
      <c r="CP22" s="277"/>
      <c r="CQ22" s="277"/>
      <c r="CR22" s="277"/>
      <c r="CS22" s="277"/>
      <c r="CT22" s="277"/>
    </row>
    <row r="23" spans="1:98">
      <c r="A23" s="246">
        <v>2</v>
      </c>
      <c r="B23" s="246" t="s">
        <v>1232</v>
      </c>
      <c r="C23" s="246" t="s">
        <v>1347</v>
      </c>
      <c r="D23" s="246" t="s">
        <v>1280</v>
      </c>
      <c r="E23" s="267"/>
      <c r="F23" s="246"/>
      <c r="G23" s="268">
        <v>2</v>
      </c>
      <c r="H23" s="269"/>
      <c r="I23" s="473"/>
      <c r="J23" s="473"/>
      <c r="K23" s="473"/>
      <c r="L23" s="473"/>
      <c r="M23" s="473"/>
      <c r="N23" s="473"/>
      <c r="O23" s="473"/>
      <c r="P23" s="473"/>
      <c r="Q23" s="473"/>
      <c r="R23" s="473"/>
      <c r="S23" s="473"/>
      <c r="T23" s="473"/>
      <c r="U23" s="473"/>
      <c r="V23" s="473"/>
      <c r="W23" s="473"/>
      <c r="X23" s="473"/>
      <c r="Y23" s="473"/>
      <c r="Z23" s="473"/>
      <c r="AA23" s="473"/>
      <c r="AB23" s="507"/>
      <c r="AC23" s="502"/>
      <c r="AD23" s="477"/>
      <c r="AE23" s="477"/>
      <c r="AF23" s="473"/>
      <c r="AG23" s="473"/>
      <c r="AH23" s="473"/>
      <c r="AI23" s="473"/>
      <c r="AJ23" s="473"/>
      <c r="AK23" s="473"/>
      <c r="AL23" s="501"/>
      <c r="AM23" s="327"/>
      <c r="AN23" s="277"/>
      <c r="AO23" s="277"/>
      <c r="AP23" s="277"/>
      <c r="AQ23" s="277"/>
      <c r="AR23" s="277"/>
      <c r="AS23" s="277"/>
      <c r="AT23" s="277"/>
      <c r="AU23" s="277"/>
      <c r="AV23" s="277"/>
      <c r="AW23" s="327"/>
      <c r="AX23" s="277"/>
      <c r="AY23" s="277"/>
      <c r="AZ23" s="277"/>
      <c r="BA23" s="277"/>
      <c r="BB23" s="277"/>
      <c r="BC23" s="277"/>
      <c r="BD23" s="277"/>
      <c r="BE23" s="277"/>
      <c r="BF23" s="277"/>
      <c r="BG23" s="327"/>
      <c r="BH23" s="277"/>
      <c r="BI23" s="277"/>
      <c r="BJ23" s="277"/>
      <c r="BK23" s="277"/>
      <c r="BL23" s="277"/>
      <c r="BM23" s="277"/>
      <c r="BN23" s="277"/>
      <c r="BO23" s="277"/>
      <c r="BP23" s="277"/>
      <c r="BQ23" s="327"/>
      <c r="BR23" s="277"/>
      <c r="BS23" s="277"/>
      <c r="BT23" s="277"/>
      <c r="BU23" s="277"/>
      <c r="BV23" s="277"/>
      <c r="BW23" s="277"/>
      <c r="BX23" s="277"/>
      <c r="BY23" s="277"/>
      <c r="BZ23" s="277"/>
      <c r="CA23" s="327"/>
      <c r="CB23" s="277"/>
      <c r="CC23" s="277"/>
      <c r="CD23" s="277"/>
      <c r="CE23" s="277"/>
      <c r="CF23" s="277"/>
      <c r="CG23" s="277"/>
      <c r="CH23" s="277"/>
      <c r="CI23" s="277"/>
      <c r="CJ23" s="277"/>
      <c r="CK23" s="327"/>
      <c r="CL23" s="277"/>
      <c r="CM23" s="277"/>
      <c r="CN23" s="277"/>
      <c r="CO23" s="277"/>
      <c r="CP23" s="277"/>
      <c r="CQ23" s="277"/>
      <c r="CR23" s="277"/>
      <c r="CS23" s="277"/>
      <c r="CT23" s="277"/>
    </row>
    <row r="24" spans="1:98">
      <c r="A24" s="246">
        <v>2</v>
      </c>
      <c r="B24" s="246" t="s">
        <v>1232</v>
      </c>
      <c r="C24" s="246" t="s">
        <v>1348</v>
      </c>
      <c r="D24" s="246" t="s">
        <v>1280</v>
      </c>
      <c r="E24" s="267"/>
      <c r="F24" s="246"/>
      <c r="G24" s="268">
        <v>2</v>
      </c>
      <c r="H24" s="269"/>
      <c r="I24" s="473"/>
      <c r="J24" s="473"/>
      <c r="K24" s="473"/>
      <c r="L24" s="473"/>
      <c r="M24" s="473"/>
      <c r="N24" s="473"/>
      <c r="O24" s="473"/>
      <c r="P24" s="473"/>
      <c r="Q24" s="473"/>
      <c r="R24" s="473"/>
      <c r="S24" s="473"/>
      <c r="T24" s="473"/>
      <c r="U24" s="473"/>
      <c r="V24" s="473"/>
      <c r="W24" s="473"/>
      <c r="X24" s="473"/>
      <c r="Y24" s="473"/>
      <c r="Z24" s="473"/>
      <c r="AA24" s="473"/>
      <c r="AB24" s="507"/>
      <c r="AC24" s="502"/>
      <c r="AD24" s="191"/>
      <c r="AE24" s="473"/>
      <c r="AF24" s="477"/>
      <c r="AG24" s="477"/>
      <c r="AH24" s="473"/>
      <c r="AI24" s="473"/>
      <c r="AJ24" s="473"/>
      <c r="AK24" s="473"/>
      <c r="AL24" s="501"/>
      <c r="AM24" s="327"/>
      <c r="AN24" s="277"/>
      <c r="AO24" s="277"/>
      <c r="AP24" s="277"/>
      <c r="AQ24" s="277"/>
      <c r="AR24" s="277"/>
      <c r="AS24" s="277"/>
      <c r="AT24" s="277"/>
      <c r="AU24" s="277"/>
      <c r="AV24" s="277"/>
      <c r="AW24" s="327"/>
      <c r="AX24" s="277"/>
      <c r="AY24" s="277"/>
      <c r="AZ24" s="277"/>
      <c r="BA24" s="277"/>
      <c r="BB24" s="277"/>
      <c r="BC24" s="277"/>
      <c r="BD24" s="277"/>
      <c r="BE24" s="277"/>
      <c r="BF24" s="277"/>
      <c r="BG24" s="327"/>
      <c r="BH24" s="277"/>
      <c r="BI24" s="277"/>
      <c r="BJ24" s="277"/>
      <c r="BK24" s="277"/>
      <c r="BL24" s="277"/>
      <c r="BM24" s="277"/>
      <c r="BN24" s="277"/>
      <c r="BO24" s="277"/>
      <c r="BP24" s="277"/>
      <c r="BQ24" s="327"/>
      <c r="BR24" s="277"/>
      <c r="BS24" s="277"/>
      <c r="BT24" s="277"/>
      <c r="BU24" s="277"/>
      <c r="BV24" s="277"/>
      <c r="BW24" s="277"/>
      <c r="BX24" s="277"/>
      <c r="BY24" s="277"/>
      <c r="BZ24" s="277"/>
      <c r="CA24" s="327"/>
      <c r="CB24" s="277"/>
      <c r="CC24" s="277"/>
      <c r="CD24" s="277"/>
      <c r="CE24" s="277"/>
      <c r="CF24" s="277"/>
      <c r="CG24" s="277"/>
      <c r="CH24" s="277"/>
      <c r="CI24" s="277"/>
      <c r="CJ24" s="277"/>
      <c r="CK24" s="327"/>
      <c r="CL24" s="277"/>
      <c r="CM24" s="277"/>
      <c r="CN24" s="277"/>
      <c r="CO24" s="277"/>
      <c r="CP24" s="277"/>
      <c r="CQ24" s="277"/>
      <c r="CR24" s="277"/>
      <c r="CS24" s="277"/>
      <c r="CT24" s="277"/>
    </row>
    <row r="25" spans="1:98">
      <c r="A25" s="246">
        <v>2</v>
      </c>
      <c r="B25" s="246" t="s">
        <v>1232</v>
      </c>
      <c r="C25" s="246" t="s">
        <v>1306</v>
      </c>
      <c r="D25" s="246" t="s">
        <v>1280</v>
      </c>
      <c r="E25" s="267"/>
      <c r="F25" s="246"/>
      <c r="G25" s="268">
        <v>8</v>
      </c>
      <c r="H25" s="269"/>
      <c r="I25" s="473"/>
      <c r="J25" s="473"/>
      <c r="K25" s="473"/>
      <c r="L25" s="473"/>
      <c r="M25" s="473"/>
      <c r="N25" s="473"/>
      <c r="O25" s="473"/>
      <c r="P25" s="473"/>
      <c r="Q25" s="473"/>
      <c r="R25" s="473"/>
      <c r="S25" s="473"/>
      <c r="T25" s="473"/>
      <c r="U25" s="473"/>
      <c r="V25" s="473"/>
      <c r="W25" s="473"/>
      <c r="X25" s="473"/>
      <c r="Y25" s="473"/>
      <c r="Z25" s="473"/>
      <c r="AA25" s="473"/>
      <c r="AB25" s="507"/>
      <c r="AC25" s="500"/>
      <c r="AD25" s="477"/>
      <c r="AE25" s="477"/>
      <c r="AF25" s="477"/>
      <c r="AG25" s="477"/>
      <c r="AH25" s="477"/>
      <c r="AI25" s="477"/>
      <c r="AJ25" s="477"/>
      <c r="AK25" s="473"/>
      <c r="AL25" s="501"/>
      <c r="AM25" s="327"/>
      <c r="AN25" s="277"/>
      <c r="AO25" s="277"/>
      <c r="AP25" s="277"/>
      <c r="AQ25" s="277"/>
      <c r="AR25" s="277"/>
      <c r="AS25" s="277"/>
      <c r="AT25" s="277"/>
      <c r="AU25" s="277"/>
      <c r="AV25" s="277"/>
      <c r="AW25" s="327"/>
      <c r="AX25" s="277"/>
      <c r="AY25" s="277"/>
      <c r="AZ25" s="277"/>
      <c r="BA25" s="277"/>
      <c r="BB25" s="277"/>
      <c r="BC25" s="277"/>
      <c r="BD25" s="277"/>
      <c r="BE25" s="277"/>
      <c r="BF25" s="277"/>
      <c r="BG25" s="327"/>
      <c r="BH25" s="277"/>
      <c r="BI25" s="277"/>
      <c r="BJ25" s="277"/>
      <c r="BK25" s="277"/>
      <c r="BL25" s="277"/>
      <c r="BM25" s="277"/>
      <c r="BN25" s="277"/>
      <c r="BO25" s="277"/>
      <c r="BP25" s="277"/>
      <c r="BQ25" s="327"/>
      <c r="BR25" s="277"/>
      <c r="BS25" s="277"/>
      <c r="BT25" s="277"/>
      <c r="BU25" s="277"/>
      <c r="BV25" s="277"/>
      <c r="BW25" s="277"/>
      <c r="BX25" s="277"/>
      <c r="BY25" s="277"/>
      <c r="BZ25" s="277"/>
      <c r="CA25" s="327"/>
      <c r="CB25" s="277"/>
      <c r="CC25" s="277"/>
      <c r="CD25" s="277"/>
      <c r="CE25" s="277"/>
      <c r="CF25" s="277"/>
      <c r="CG25" s="277"/>
      <c r="CH25" s="277"/>
      <c r="CI25" s="277"/>
      <c r="CJ25" s="277"/>
      <c r="CK25" s="327"/>
      <c r="CL25" s="277"/>
      <c r="CM25" s="277"/>
      <c r="CN25" s="277"/>
      <c r="CO25" s="277"/>
      <c r="CP25" s="277"/>
      <c r="CQ25" s="277"/>
      <c r="CR25" s="277"/>
      <c r="CS25" s="277"/>
      <c r="CT25" s="277"/>
    </row>
    <row r="26" spans="1:98">
      <c r="A26" s="246">
        <v>2</v>
      </c>
      <c r="B26" s="246" t="s">
        <v>1232</v>
      </c>
      <c r="C26" s="246" t="s">
        <v>1307</v>
      </c>
      <c r="D26" s="246" t="s">
        <v>1280</v>
      </c>
      <c r="E26" s="267"/>
      <c r="F26" s="246"/>
      <c r="G26" s="268">
        <v>2</v>
      </c>
      <c r="H26" s="269"/>
      <c r="I26" s="473"/>
      <c r="J26" s="473"/>
      <c r="K26" s="473"/>
      <c r="L26" s="473"/>
      <c r="M26" s="473"/>
      <c r="N26" s="473"/>
      <c r="O26" s="473"/>
      <c r="P26" s="473"/>
      <c r="Q26" s="473"/>
      <c r="R26" s="473"/>
      <c r="S26" s="473"/>
      <c r="T26" s="473"/>
      <c r="U26" s="473"/>
      <c r="V26" s="473"/>
      <c r="W26" s="473"/>
      <c r="X26" s="473"/>
      <c r="Y26" s="473"/>
      <c r="Z26" s="473"/>
      <c r="AA26" s="473"/>
      <c r="AB26" s="507"/>
      <c r="AC26" s="502"/>
      <c r="AD26" s="473"/>
      <c r="AE26" s="473"/>
      <c r="AF26" s="473"/>
      <c r="AG26" s="473"/>
      <c r="AH26" s="473"/>
      <c r="AI26" s="473"/>
      <c r="AJ26" s="191"/>
      <c r="AK26" s="477"/>
      <c r="AL26" s="503"/>
      <c r="AM26" s="327"/>
      <c r="AN26" s="277"/>
      <c r="AO26" s="277"/>
      <c r="AP26" s="277"/>
      <c r="AQ26" s="277"/>
      <c r="AR26" s="277"/>
      <c r="AS26" s="277"/>
      <c r="AT26" s="277"/>
      <c r="AU26" s="277"/>
      <c r="AV26" s="277"/>
      <c r="AW26" s="327"/>
      <c r="AX26" s="277"/>
      <c r="AY26" s="277"/>
      <c r="AZ26" s="277"/>
      <c r="BA26" s="277"/>
      <c r="BB26" s="277"/>
      <c r="BC26" s="277"/>
      <c r="BD26" s="277"/>
      <c r="BE26" s="277"/>
      <c r="BF26" s="277"/>
      <c r="BG26" s="327"/>
      <c r="BH26" s="277"/>
      <c r="BI26" s="277"/>
      <c r="BJ26" s="277"/>
      <c r="BK26" s="277"/>
      <c r="BL26" s="277"/>
      <c r="BM26" s="277"/>
      <c r="BN26" s="277"/>
      <c r="BO26" s="277"/>
      <c r="BP26" s="277"/>
      <c r="BQ26" s="327"/>
      <c r="BR26" s="277"/>
      <c r="BS26" s="277"/>
      <c r="BT26" s="277"/>
      <c r="BU26" s="277"/>
      <c r="BV26" s="277"/>
      <c r="BW26" s="277"/>
      <c r="BX26" s="277"/>
      <c r="BY26" s="277"/>
      <c r="BZ26" s="277"/>
      <c r="CA26" s="327"/>
      <c r="CB26" s="277"/>
      <c r="CC26" s="277"/>
      <c r="CD26" s="277"/>
      <c r="CE26" s="277"/>
      <c r="CF26" s="277"/>
      <c r="CG26" s="277"/>
      <c r="CH26" s="277"/>
      <c r="CI26" s="277"/>
      <c r="CJ26" s="277"/>
      <c r="CK26" s="327"/>
      <c r="CL26" s="277"/>
      <c r="CM26" s="277"/>
      <c r="CN26" s="277"/>
      <c r="CO26" s="277"/>
      <c r="CP26" s="277"/>
      <c r="CQ26" s="277"/>
      <c r="CR26" s="277"/>
      <c r="CS26" s="277"/>
      <c r="CT26" s="277"/>
    </row>
    <row r="27" spans="1:98">
      <c r="A27" s="246">
        <v>2</v>
      </c>
      <c r="B27" s="246" t="s">
        <v>1232</v>
      </c>
      <c r="C27" s="246" t="s">
        <v>1308</v>
      </c>
      <c r="D27" s="246" t="s">
        <v>1280</v>
      </c>
      <c r="E27" s="267"/>
      <c r="F27" s="246"/>
      <c r="G27" s="268">
        <v>1</v>
      </c>
      <c r="H27" s="269"/>
      <c r="I27" s="473"/>
      <c r="J27" s="473"/>
      <c r="K27" s="473"/>
      <c r="L27" s="473"/>
      <c r="M27" s="473"/>
      <c r="N27" s="473"/>
      <c r="O27" s="473"/>
      <c r="P27" s="473"/>
      <c r="Q27" s="473"/>
      <c r="R27" s="473"/>
      <c r="S27" s="473"/>
      <c r="T27" s="473"/>
      <c r="U27" s="473"/>
      <c r="V27" s="473"/>
      <c r="W27" s="473"/>
      <c r="X27" s="473"/>
      <c r="Y27" s="473"/>
      <c r="Z27" s="473"/>
      <c r="AA27" s="473"/>
      <c r="AB27" s="507"/>
      <c r="AC27" s="504"/>
      <c r="AD27" s="505"/>
      <c r="AE27" s="505"/>
      <c r="AF27" s="505"/>
      <c r="AG27" s="505"/>
      <c r="AH27" s="505"/>
      <c r="AI27" s="505"/>
      <c r="AJ27" s="505"/>
      <c r="AK27" s="505"/>
      <c r="AL27" s="506"/>
      <c r="AM27" s="390"/>
      <c r="AN27" s="391"/>
      <c r="AO27" s="391"/>
      <c r="AP27" s="391"/>
      <c r="AQ27" s="391"/>
      <c r="AR27" s="391"/>
      <c r="AS27" s="391"/>
      <c r="AT27" s="391"/>
      <c r="AU27" s="391"/>
      <c r="AV27" s="391"/>
      <c r="AW27" s="327"/>
      <c r="AX27" s="277"/>
      <c r="AY27" s="277"/>
      <c r="AZ27" s="277"/>
      <c r="BA27" s="277"/>
      <c r="BB27" s="277"/>
      <c r="BC27" s="277"/>
      <c r="BD27" s="277"/>
      <c r="BE27" s="277"/>
      <c r="BF27" s="277"/>
      <c r="BG27" s="327"/>
      <c r="BH27" s="277"/>
      <c r="BI27" s="277"/>
      <c r="BJ27" s="277"/>
      <c r="BK27" s="277"/>
      <c r="BL27" s="277"/>
      <c r="BM27" s="277"/>
      <c r="BN27" s="277"/>
      <c r="BO27" s="277"/>
      <c r="BP27" s="277"/>
      <c r="BQ27" s="327"/>
      <c r="BR27" s="277"/>
      <c r="BS27" s="277"/>
      <c r="BT27" s="277"/>
      <c r="BU27" s="277"/>
      <c r="BV27" s="277"/>
      <c r="BW27" s="277"/>
      <c r="BX27" s="277"/>
      <c r="BY27" s="277"/>
      <c r="BZ27" s="277"/>
      <c r="CA27" s="327"/>
      <c r="CB27" s="277"/>
      <c r="CC27" s="277"/>
      <c r="CD27" s="277"/>
      <c r="CE27" s="277"/>
      <c r="CF27" s="277"/>
      <c r="CG27" s="277"/>
      <c r="CH27" s="277"/>
      <c r="CI27" s="277"/>
      <c r="CJ27" s="277"/>
      <c r="CK27" s="327"/>
      <c r="CL27" s="277"/>
      <c r="CM27" s="277"/>
      <c r="CN27" s="277"/>
      <c r="CO27" s="277"/>
      <c r="CP27" s="277"/>
      <c r="CQ27" s="277"/>
      <c r="CR27" s="277"/>
      <c r="CS27" s="277"/>
      <c r="CT27" s="277"/>
    </row>
    <row r="28" spans="1:98">
      <c r="A28" s="392">
        <v>3</v>
      </c>
      <c r="B28" s="392" t="s">
        <v>1278</v>
      </c>
      <c r="C28" s="392" t="s">
        <v>1309</v>
      </c>
      <c r="D28" s="393" t="s">
        <v>1280</v>
      </c>
      <c r="E28" s="393" t="s">
        <v>1281</v>
      </c>
      <c r="F28" s="392"/>
      <c r="G28" s="393"/>
      <c r="H28" s="393"/>
      <c r="I28" s="478"/>
      <c r="J28" s="478"/>
      <c r="K28" s="478"/>
      <c r="L28" s="478"/>
      <c r="M28" s="478"/>
      <c r="N28" s="478"/>
      <c r="O28" s="478"/>
      <c r="P28" s="478"/>
      <c r="Q28" s="478"/>
      <c r="R28" s="478"/>
      <c r="S28" s="478"/>
      <c r="T28" s="478"/>
      <c r="U28" s="478"/>
      <c r="V28" s="478"/>
      <c r="W28" s="478"/>
      <c r="X28" s="478"/>
      <c r="Y28" s="478"/>
      <c r="Z28" s="478"/>
      <c r="AA28" s="478"/>
      <c r="AB28" s="478"/>
      <c r="AC28" s="509"/>
      <c r="AD28" s="509"/>
      <c r="AE28" s="509"/>
      <c r="AF28" s="509"/>
      <c r="AG28" s="509"/>
      <c r="AH28" s="509"/>
      <c r="AI28" s="509"/>
      <c r="AJ28" s="509"/>
      <c r="AK28" s="509"/>
      <c r="AL28" s="509"/>
      <c r="AM28" s="540" t="s">
        <v>1310</v>
      </c>
      <c r="AN28" s="540"/>
      <c r="AO28" s="540"/>
      <c r="AP28" s="540"/>
      <c r="AQ28" s="540"/>
      <c r="AR28" s="540"/>
      <c r="AS28" s="540"/>
      <c r="AT28" s="540"/>
      <c r="AU28" s="540"/>
      <c r="AV28" s="541"/>
      <c r="AW28" s="580"/>
      <c r="AX28" s="580"/>
      <c r="AY28" s="394"/>
      <c r="AZ28" s="395"/>
      <c r="BA28" s="395"/>
      <c r="BB28" s="395"/>
      <c r="BC28" s="395"/>
      <c r="BD28" s="395"/>
      <c r="BE28" s="395"/>
      <c r="BF28" s="395"/>
      <c r="BG28" s="581"/>
      <c r="BH28" s="580"/>
      <c r="BI28" s="394"/>
      <c r="BJ28" s="394"/>
      <c r="BK28" s="394"/>
      <c r="BL28" s="394"/>
      <c r="BM28" s="394"/>
      <c r="BN28" s="394"/>
      <c r="BO28" s="394"/>
      <c r="BP28" s="394"/>
      <c r="BQ28" s="542"/>
      <c r="BR28" s="543"/>
      <c r="BS28" s="543"/>
      <c r="BT28" s="543"/>
      <c r="BU28" s="544"/>
      <c r="BV28" s="394"/>
      <c r="BW28" s="394"/>
      <c r="BX28" s="394"/>
      <c r="BY28" s="394"/>
      <c r="BZ28" s="394"/>
      <c r="CA28" s="581"/>
      <c r="CB28" s="580"/>
      <c r="CC28" s="394"/>
      <c r="CD28" s="394"/>
      <c r="CE28" s="394"/>
      <c r="CF28" s="394"/>
      <c r="CG28" s="394"/>
      <c r="CH28" s="394"/>
      <c r="CI28" s="394"/>
      <c r="CJ28" s="394"/>
      <c r="CK28" s="581"/>
      <c r="CL28" s="580"/>
      <c r="CM28" s="394"/>
      <c r="CN28" s="394"/>
      <c r="CO28" s="394"/>
      <c r="CP28" s="394"/>
      <c r="CQ28" s="394"/>
      <c r="CR28" s="394"/>
      <c r="CS28" s="394"/>
      <c r="CT28" s="394"/>
    </row>
    <row r="29" spans="1:98">
      <c r="A29" s="246">
        <v>3</v>
      </c>
      <c r="B29" s="246" t="s">
        <v>1232</v>
      </c>
      <c r="C29" s="246" t="s">
        <v>1311</v>
      </c>
      <c r="D29" s="246" t="s">
        <v>1280</v>
      </c>
      <c r="E29" s="246"/>
      <c r="F29" s="268"/>
      <c r="G29" s="268">
        <v>2</v>
      </c>
      <c r="H29" s="246"/>
      <c r="I29" s="473"/>
      <c r="J29" s="473"/>
      <c r="K29" s="473"/>
      <c r="L29" s="473"/>
      <c r="M29" s="473"/>
      <c r="N29" s="473"/>
      <c r="O29" s="473"/>
      <c r="P29" s="473"/>
      <c r="Q29" s="473"/>
      <c r="R29" s="473"/>
      <c r="S29" s="473"/>
      <c r="T29" s="473"/>
      <c r="U29" s="473"/>
      <c r="V29" s="473"/>
      <c r="W29" s="473"/>
      <c r="X29" s="473"/>
      <c r="Y29" s="473"/>
      <c r="Z29" s="473"/>
      <c r="AA29" s="473"/>
      <c r="AB29" s="473"/>
      <c r="AC29" s="473"/>
      <c r="AD29" s="473"/>
      <c r="AE29" s="473"/>
      <c r="AF29" s="473"/>
      <c r="AG29" s="473"/>
      <c r="AH29" s="473"/>
      <c r="AI29" s="473"/>
      <c r="AJ29" s="473"/>
      <c r="AK29" s="473"/>
      <c r="AL29" s="473"/>
      <c r="AM29" s="486"/>
      <c r="AN29" s="397"/>
      <c r="AO29" s="398"/>
      <c r="AP29" s="398"/>
      <c r="AQ29" s="398"/>
      <c r="AR29" s="418"/>
      <c r="AS29" s="418"/>
      <c r="AT29" s="418"/>
      <c r="AU29" s="398"/>
      <c r="AV29" s="405"/>
      <c r="AW29" s="404"/>
      <c r="AX29" s="238"/>
      <c r="AY29" s="238"/>
      <c r="AZ29" s="327"/>
      <c r="BA29" s="277"/>
      <c r="BB29" s="277"/>
      <c r="BC29" s="277"/>
      <c r="BD29" s="277"/>
      <c r="BE29" s="277"/>
      <c r="BF29" s="351"/>
      <c r="BG29" s="238"/>
      <c r="BH29" s="238"/>
      <c r="BI29" s="238"/>
      <c r="BJ29" s="238"/>
      <c r="BK29" s="238"/>
      <c r="BL29" s="238"/>
      <c r="BM29" s="238"/>
      <c r="BN29" s="238"/>
      <c r="BO29" s="238"/>
      <c r="BP29" s="238"/>
      <c r="BQ29" s="238"/>
      <c r="BR29" s="238"/>
      <c r="BS29" s="238"/>
      <c r="BT29" s="238"/>
      <c r="BU29" s="238"/>
      <c r="BV29" s="238"/>
      <c r="BW29" s="238"/>
      <c r="BX29" s="238"/>
      <c r="BY29" s="238"/>
      <c r="BZ29" s="238"/>
      <c r="CA29" s="238"/>
      <c r="CB29" s="238"/>
      <c r="CC29" s="238"/>
      <c r="CD29" s="238"/>
      <c r="CE29" s="238"/>
      <c r="CF29" s="238"/>
      <c r="CG29" s="238"/>
      <c r="CH29" s="238"/>
      <c r="CI29" s="238"/>
      <c r="CJ29" s="238"/>
      <c r="CK29" s="238"/>
      <c r="CL29" s="238"/>
      <c r="CM29" s="238"/>
      <c r="CN29" s="238"/>
      <c r="CO29" s="238"/>
      <c r="CP29" s="238"/>
      <c r="CQ29" s="238"/>
      <c r="CR29" s="238"/>
      <c r="CS29" s="238"/>
      <c r="CT29" s="238"/>
    </row>
    <row r="30" spans="1:98">
      <c r="A30" s="246">
        <v>3</v>
      </c>
      <c r="B30" s="246" t="s">
        <v>1232</v>
      </c>
      <c r="C30" t="s">
        <v>1349</v>
      </c>
      <c r="D30" s="246" t="s">
        <v>1280</v>
      </c>
      <c r="E30" s="246"/>
      <c r="F30" s="268"/>
      <c r="G30" s="268">
        <v>3</v>
      </c>
      <c r="H30" s="246"/>
      <c r="I30" s="473"/>
      <c r="J30" s="238"/>
      <c r="K30" s="473"/>
      <c r="L30" s="473"/>
      <c r="M30" s="473"/>
      <c r="N30" s="473"/>
      <c r="O30" s="473"/>
      <c r="P30" s="473"/>
      <c r="Q30" s="473"/>
      <c r="R30" s="473"/>
      <c r="S30" s="473"/>
      <c r="T30" s="473"/>
      <c r="U30" s="473"/>
      <c r="V30" s="473"/>
      <c r="W30" s="473"/>
      <c r="X30" s="473"/>
      <c r="Y30" s="473"/>
      <c r="Z30" s="473"/>
      <c r="AA30" s="473"/>
      <c r="AB30" s="473"/>
      <c r="AC30" s="473"/>
      <c r="AD30" s="473"/>
      <c r="AE30" s="473"/>
      <c r="AF30" s="473"/>
      <c r="AG30" s="473"/>
      <c r="AH30" s="473"/>
      <c r="AI30" s="473"/>
      <c r="AJ30" s="473"/>
      <c r="AK30" s="473"/>
      <c r="AL30" s="473"/>
      <c r="AM30" s="404"/>
      <c r="AN30" s="238"/>
      <c r="AO30" s="396"/>
      <c r="AP30" s="396"/>
      <c r="AQ30" s="417"/>
      <c r="AR30" s="191"/>
      <c r="AS30" s="191"/>
      <c r="AT30" s="191"/>
      <c r="AU30" s="404"/>
      <c r="AV30" s="400"/>
      <c r="AW30" s="404"/>
      <c r="AX30" s="238"/>
      <c r="AY30" s="238"/>
      <c r="AZ30" s="327"/>
      <c r="BA30" s="277"/>
      <c r="BB30" s="277"/>
      <c r="BC30" s="277"/>
      <c r="BD30" s="277"/>
      <c r="BE30" s="277"/>
      <c r="BF30" s="351"/>
      <c r="BG30" s="238"/>
      <c r="BH30" s="238"/>
      <c r="BI30" s="238"/>
      <c r="BJ30" s="238"/>
      <c r="BK30" s="238"/>
      <c r="BL30" s="238"/>
      <c r="BM30" s="238"/>
      <c r="BN30" s="238"/>
      <c r="BO30" s="238"/>
      <c r="BP30" s="238"/>
      <c r="BQ30" s="238"/>
      <c r="BR30" s="238"/>
      <c r="BS30" s="238"/>
      <c r="BT30" s="238"/>
      <c r="BU30" s="238"/>
      <c r="BV30" s="238"/>
      <c r="BW30" s="238"/>
      <c r="BX30" s="238"/>
      <c r="BY30" s="238"/>
      <c r="BZ30" s="238"/>
      <c r="CA30" s="238"/>
      <c r="CB30" s="238"/>
      <c r="CC30" s="238"/>
      <c r="CD30" s="238"/>
      <c r="CE30" s="238"/>
      <c r="CF30" s="238"/>
      <c r="CG30" s="238"/>
      <c r="CH30" s="238"/>
      <c r="CI30" s="238"/>
      <c r="CJ30" s="238"/>
      <c r="CK30" s="238"/>
      <c r="CL30" s="238"/>
      <c r="CM30" s="238"/>
      <c r="CN30" s="238"/>
      <c r="CO30" s="238"/>
      <c r="CP30" s="238"/>
      <c r="CQ30" s="238"/>
      <c r="CR30" s="238"/>
      <c r="CS30" s="238"/>
      <c r="CT30" s="238"/>
    </row>
    <row r="31" spans="1:98">
      <c r="A31" s="246">
        <v>3</v>
      </c>
      <c r="B31" s="246" t="s">
        <v>1232</v>
      </c>
      <c r="C31" s="246" t="s">
        <v>1312</v>
      </c>
      <c r="D31" s="246" t="s">
        <v>1280</v>
      </c>
      <c r="E31" s="246"/>
      <c r="F31" s="268"/>
      <c r="G31" s="268">
        <v>4</v>
      </c>
      <c r="H31" s="246"/>
      <c r="I31" s="473"/>
      <c r="J31" s="238"/>
      <c r="K31" s="473"/>
      <c r="L31" s="473"/>
      <c r="M31" s="473"/>
      <c r="N31" s="473"/>
      <c r="O31" s="473"/>
      <c r="P31" s="473"/>
      <c r="Q31" s="473"/>
      <c r="R31" s="473"/>
      <c r="S31" s="473"/>
      <c r="T31" s="473"/>
      <c r="U31" s="473"/>
      <c r="V31" s="473"/>
      <c r="W31" s="473"/>
      <c r="X31" s="473"/>
      <c r="Y31" s="473"/>
      <c r="Z31" s="473"/>
      <c r="AA31" s="473"/>
      <c r="AB31" s="473"/>
      <c r="AC31" s="473"/>
      <c r="AD31" s="473"/>
      <c r="AE31" s="473"/>
      <c r="AF31" s="473"/>
      <c r="AG31" s="473"/>
      <c r="AH31" s="473"/>
      <c r="AI31" s="473"/>
      <c r="AJ31" s="473"/>
      <c r="AK31" s="473"/>
      <c r="AL31" s="473"/>
      <c r="AM31" s="404"/>
      <c r="AN31" s="238"/>
      <c r="AO31" s="238"/>
      <c r="AP31" s="238"/>
      <c r="AR31" s="397"/>
      <c r="AS31" s="397"/>
      <c r="AT31" s="397"/>
      <c r="AU31" s="396"/>
      <c r="AV31" s="400"/>
      <c r="AW31" s="404"/>
      <c r="AX31" s="238"/>
      <c r="AY31" s="238"/>
      <c r="AZ31" s="327"/>
      <c r="BA31" s="277"/>
      <c r="BB31" s="277"/>
      <c r="BC31" s="277"/>
      <c r="BD31" s="277"/>
      <c r="BE31" s="277"/>
      <c r="BF31" s="351"/>
      <c r="BG31" s="238"/>
      <c r="BH31" s="238"/>
      <c r="BI31" s="238"/>
      <c r="BJ31" s="238"/>
      <c r="BK31" s="238"/>
      <c r="BL31" s="238"/>
      <c r="BM31" s="238"/>
      <c r="BN31" s="238"/>
      <c r="BO31" s="238"/>
      <c r="BP31" s="238"/>
      <c r="BQ31" s="238"/>
      <c r="BR31" s="238"/>
      <c r="BS31" s="238"/>
      <c r="BT31" s="238"/>
      <c r="BU31" s="238"/>
      <c r="BV31" s="238"/>
      <c r="BW31" s="238"/>
      <c r="BX31" s="238"/>
      <c r="BY31" s="238"/>
      <c r="BZ31" s="238"/>
      <c r="CA31" s="238"/>
      <c r="CB31" s="238"/>
      <c r="CC31" s="238"/>
      <c r="CD31" s="238"/>
      <c r="CE31" s="238"/>
      <c r="CF31" s="238"/>
      <c r="CG31" s="238"/>
      <c r="CH31" s="238"/>
      <c r="CI31" s="238"/>
      <c r="CJ31" s="238"/>
      <c r="CK31" s="238"/>
      <c r="CL31" s="238"/>
      <c r="CM31" s="238"/>
      <c r="CN31" s="238"/>
      <c r="CO31" s="238"/>
      <c r="CP31" s="238"/>
      <c r="CQ31" s="238"/>
      <c r="CR31" s="238"/>
      <c r="CS31" s="238"/>
      <c r="CT31" s="238"/>
    </row>
    <row r="32" spans="1:98">
      <c r="A32" s="246">
        <v>3</v>
      </c>
      <c r="B32" s="246" t="s">
        <v>1232</v>
      </c>
      <c r="C32" s="246" t="s">
        <v>1314</v>
      </c>
      <c r="D32" s="246" t="s">
        <v>1280</v>
      </c>
      <c r="E32" s="246"/>
      <c r="F32" s="268"/>
      <c r="G32" s="268">
        <v>8</v>
      </c>
      <c r="H32" s="246"/>
      <c r="I32" s="473"/>
      <c r="J32" s="473"/>
      <c r="K32" s="473"/>
      <c r="L32" s="473"/>
      <c r="M32" s="473"/>
      <c r="N32" s="473"/>
      <c r="O32" s="473"/>
      <c r="P32" s="473"/>
      <c r="Q32" s="473"/>
      <c r="R32" s="473"/>
      <c r="S32" s="473"/>
      <c r="T32" s="473"/>
      <c r="U32" s="473"/>
      <c r="V32" s="473"/>
      <c r="W32" s="473"/>
      <c r="X32" s="473"/>
      <c r="Y32" s="473"/>
      <c r="Z32" s="473"/>
      <c r="AA32" s="473"/>
      <c r="AB32" s="473"/>
      <c r="AC32" s="473"/>
      <c r="AD32" s="473"/>
      <c r="AE32" s="473"/>
      <c r="AF32" s="473"/>
      <c r="AG32" s="473"/>
      <c r="AH32" s="473"/>
      <c r="AI32" s="473"/>
      <c r="AJ32" s="473"/>
      <c r="AK32" s="473"/>
      <c r="AL32" s="473"/>
      <c r="AM32" s="487"/>
      <c r="AN32" s="396"/>
      <c r="AO32" s="396"/>
      <c r="AP32" s="396"/>
      <c r="AQ32" s="396"/>
      <c r="AR32" s="396"/>
      <c r="AS32" s="396"/>
      <c r="AT32" s="396"/>
      <c r="AU32" s="238"/>
      <c r="AV32" s="400"/>
      <c r="AW32" s="404"/>
      <c r="AX32" s="238"/>
      <c r="AY32" s="238"/>
      <c r="AZ32" s="327"/>
      <c r="BA32" s="277"/>
      <c r="BB32" s="277"/>
      <c r="BC32" s="277"/>
      <c r="BD32" s="277"/>
      <c r="BE32" s="277"/>
      <c r="BF32" s="351"/>
      <c r="BG32" s="238"/>
      <c r="BH32" s="238"/>
      <c r="BI32" s="238"/>
      <c r="BJ32" s="238"/>
      <c r="BK32" s="238"/>
      <c r="BL32" s="238"/>
      <c r="BM32" s="238"/>
      <c r="BN32" s="238"/>
      <c r="BO32" s="238"/>
      <c r="BP32" s="238"/>
      <c r="BQ32" s="238"/>
      <c r="BR32" s="238"/>
      <c r="BS32" s="238"/>
      <c r="BT32" s="238"/>
      <c r="BU32" s="238"/>
      <c r="BV32" s="238"/>
      <c r="BW32" s="238"/>
      <c r="BX32" s="238"/>
      <c r="BY32" s="238"/>
      <c r="BZ32" s="238"/>
      <c r="CA32" s="238"/>
      <c r="CB32" s="238"/>
      <c r="CC32" s="238"/>
      <c r="CD32" s="238"/>
      <c r="CE32" s="238"/>
      <c r="CF32" s="238"/>
      <c r="CG32" s="238"/>
      <c r="CH32" s="238"/>
      <c r="CI32" s="238"/>
      <c r="CJ32" s="238"/>
      <c r="CK32" s="238"/>
      <c r="CL32" s="238"/>
      <c r="CM32" s="238"/>
      <c r="CN32" s="238"/>
      <c r="CO32" s="238"/>
      <c r="CP32" s="238"/>
      <c r="CQ32" s="238"/>
      <c r="CR32" s="238"/>
      <c r="CS32" s="238"/>
      <c r="CT32" s="238"/>
    </row>
    <row r="33" spans="1:98">
      <c r="A33" s="246">
        <v>3</v>
      </c>
      <c r="B33" s="246" t="s">
        <v>1232</v>
      </c>
      <c r="C33" s="246" t="s">
        <v>1307</v>
      </c>
      <c r="D33" s="246" t="s">
        <v>1280</v>
      </c>
      <c r="E33" s="246"/>
      <c r="F33" s="268"/>
      <c r="G33" s="268">
        <v>2</v>
      </c>
      <c r="H33" s="246"/>
      <c r="I33" s="473"/>
      <c r="J33" s="473"/>
      <c r="K33" s="473"/>
      <c r="L33" s="473"/>
      <c r="M33" s="473"/>
      <c r="N33" s="473"/>
      <c r="O33" s="473"/>
      <c r="P33" s="473"/>
      <c r="Q33" s="473"/>
      <c r="R33" s="473"/>
      <c r="S33" s="473"/>
      <c r="T33" s="473"/>
      <c r="U33" s="473"/>
      <c r="V33" s="473"/>
      <c r="W33" s="473"/>
      <c r="X33" s="473"/>
      <c r="Y33" s="473"/>
      <c r="Z33" s="473"/>
      <c r="AA33" s="473"/>
      <c r="AB33" s="473"/>
      <c r="AC33" s="473"/>
      <c r="AD33" s="473"/>
      <c r="AE33" s="473"/>
      <c r="AF33" s="473"/>
      <c r="AG33" s="473"/>
      <c r="AH33" s="473"/>
      <c r="AI33" s="473"/>
      <c r="AJ33" s="473"/>
      <c r="AK33" s="473"/>
      <c r="AL33" s="473"/>
      <c r="AM33" s="404"/>
      <c r="AN33" s="238"/>
      <c r="AO33" s="238"/>
      <c r="AP33" s="238"/>
      <c r="AQ33" s="238"/>
      <c r="AR33" s="238"/>
      <c r="AS33" s="238"/>
      <c r="AT33" s="238"/>
      <c r="AU33" s="396"/>
      <c r="AV33" s="406"/>
      <c r="AW33" s="404"/>
      <c r="AX33" s="238"/>
      <c r="AY33" s="238"/>
      <c r="AZ33" s="327"/>
      <c r="BA33" s="277"/>
      <c r="BB33" s="277"/>
      <c r="BC33" s="277"/>
      <c r="BD33" s="277"/>
      <c r="BE33" s="277"/>
      <c r="BF33" s="351"/>
      <c r="BG33" s="238"/>
      <c r="BH33" s="238"/>
      <c r="BI33" s="238"/>
      <c r="BJ33" s="238"/>
      <c r="BK33" s="238"/>
      <c r="BL33" s="238"/>
      <c r="BM33" s="238"/>
      <c r="BN33" s="238"/>
      <c r="BO33" s="238"/>
      <c r="BP33" s="238"/>
      <c r="BQ33" s="238"/>
      <c r="BR33" s="238"/>
      <c r="BS33" s="238"/>
      <c r="BT33" s="238"/>
      <c r="BU33" s="238"/>
      <c r="BV33" s="238"/>
      <c r="BW33" s="238"/>
      <c r="BX33" s="238"/>
      <c r="BY33" s="238"/>
      <c r="BZ33" s="238"/>
      <c r="CA33" s="238"/>
      <c r="CB33" s="238"/>
      <c r="CC33" s="238"/>
      <c r="CD33" s="238"/>
      <c r="CE33" s="238"/>
      <c r="CF33" s="238"/>
      <c r="CG33" s="238"/>
      <c r="CH33" s="238"/>
      <c r="CI33" s="238"/>
      <c r="CJ33" s="238"/>
      <c r="CK33" s="238"/>
      <c r="CL33" s="238"/>
      <c r="CM33" s="238"/>
      <c r="CN33" s="238"/>
      <c r="CO33" s="238"/>
      <c r="CP33" s="238"/>
      <c r="CQ33" s="238"/>
      <c r="CR33" s="238"/>
      <c r="CS33" s="238"/>
      <c r="CT33" s="238"/>
    </row>
    <row r="34" spans="1:98">
      <c r="A34" s="246">
        <v>3</v>
      </c>
      <c r="B34" s="246" t="s">
        <v>1232</v>
      </c>
      <c r="C34" s="246" t="s">
        <v>1315</v>
      </c>
      <c r="D34" s="246" t="s">
        <v>1280</v>
      </c>
      <c r="E34" s="246"/>
      <c r="F34" s="268"/>
      <c r="G34" s="268">
        <v>1</v>
      </c>
      <c r="H34" s="246"/>
      <c r="I34" s="473"/>
      <c r="J34" s="473"/>
      <c r="K34" s="473"/>
      <c r="L34" s="473"/>
      <c r="M34" s="473"/>
      <c r="N34" s="473"/>
      <c r="O34" s="473"/>
      <c r="P34" s="473"/>
      <c r="Q34" s="473"/>
      <c r="R34" s="473"/>
      <c r="S34" s="473"/>
      <c r="T34" s="473"/>
      <c r="U34" s="473"/>
      <c r="V34" s="473"/>
      <c r="W34" s="473"/>
      <c r="X34" s="473"/>
      <c r="Y34" s="473"/>
      <c r="Z34" s="473"/>
      <c r="AA34" s="473"/>
      <c r="AB34" s="473"/>
      <c r="AC34" s="473"/>
      <c r="AD34" s="473"/>
      <c r="AE34" s="473"/>
      <c r="AF34" s="473"/>
      <c r="AG34" s="473"/>
      <c r="AH34" s="473"/>
      <c r="AI34" s="473"/>
      <c r="AJ34" s="473"/>
      <c r="AK34" s="473"/>
      <c r="AL34" s="473"/>
      <c r="AM34" s="488"/>
      <c r="AN34" s="403"/>
      <c r="AO34" s="403"/>
      <c r="AP34" s="403"/>
      <c r="AQ34" s="403"/>
      <c r="AR34" s="403"/>
      <c r="AS34" s="403"/>
      <c r="AT34" s="403"/>
      <c r="AU34" s="403"/>
      <c r="AV34" s="407"/>
      <c r="AW34" s="408"/>
      <c r="AX34" s="409"/>
      <c r="AY34" s="409"/>
      <c r="AZ34" s="390"/>
      <c r="BA34" s="391"/>
      <c r="BB34" s="391"/>
      <c r="BC34" s="391"/>
      <c r="BD34" s="391"/>
      <c r="BE34" s="391"/>
      <c r="BF34" s="424"/>
      <c r="BG34" s="238"/>
      <c r="BH34" s="238"/>
      <c r="BI34" s="238"/>
      <c r="BJ34" s="238"/>
      <c r="BK34" s="238"/>
      <c r="BL34" s="238"/>
      <c r="BM34" s="238"/>
      <c r="BN34" s="238"/>
      <c r="BO34" s="238"/>
      <c r="BP34" s="238"/>
      <c r="BQ34" s="238"/>
      <c r="BR34" s="238"/>
      <c r="BS34" s="238"/>
      <c r="BT34" s="238"/>
      <c r="BU34" s="238"/>
      <c r="BV34" s="238"/>
      <c r="BW34" s="238"/>
      <c r="BX34" s="238"/>
      <c r="BY34" s="238"/>
      <c r="BZ34" s="238"/>
      <c r="CA34" s="238"/>
      <c r="CB34" s="238"/>
      <c r="CC34" s="238"/>
      <c r="CD34" s="238"/>
      <c r="CE34" s="238"/>
      <c r="CF34" s="238"/>
      <c r="CG34" s="238"/>
      <c r="CH34" s="238"/>
      <c r="CI34" s="238"/>
      <c r="CJ34" s="238"/>
      <c r="CK34" s="238"/>
      <c r="CL34" s="238"/>
      <c r="CM34" s="238"/>
      <c r="CN34" s="238"/>
      <c r="CO34" s="238"/>
      <c r="CP34" s="238"/>
      <c r="CQ34" s="238"/>
      <c r="CR34" s="238"/>
      <c r="CS34" s="238"/>
      <c r="CT34" s="238"/>
    </row>
    <row r="35" spans="1:98" s="414" customFormat="1">
      <c r="A35" s="410">
        <v>4</v>
      </c>
      <c r="B35" s="410" t="s">
        <v>1278</v>
      </c>
      <c r="C35" s="410" t="s">
        <v>1350</v>
      </c>
      <c r="D35" s="411" t="s">
        <v>1280</v>
      </c>
      <c r="E35" s="411" t="s">
        <v>1281</v>
      </c>
      <c r="F35" s="410"/>
      <c r="G35" s="411"/>
      <c r="H35" s="411"/>
      <c r="I35" s="479"/>
      <c r="J35" s="479"/>
      <c r="K35" s="479"/>
      <c r="L35" s="479"/>
      <c r="M35" s="479"/>
      <c r="N35" s="479"/>
      <c r="O35" s="479"/>
      <c r="P35" s="479"/>
      <c r="Q35" s="479"/>
      <c r="R35" s="479"/>
      <c r="S35" s="479"/>
      <c r="T35" s="479"/>
      <c r="U35" s="479"/>
      <c r="V35" s="479"/>
      <c r="W35" s="479"/>
      <c r="X35" s="479"/>
      <c r="Y35" s="479"/>
      <c r="Z35" s="479"/>
      <c r="AA35" s="479"/>
      <c r="AB35" s="479"/>
      <c r="AC35" s="479"/>
      <c r="AD35" s="479"/>
      <c r="AE35" s="479"/>
      <c r="AF35" s="479"/>
      <c r="AG35" s="479"/>
      <c r="AH35" s="479"/>
      <c r="AI35" s="479"/>
      <c r="AJ35" s="479"/>
      <c r="AK35" s="479"/>
      <c r="AL35" s="479"/>
      <c r="AM35" s="489"/>
      <c r="AN35" s="412"/>
      <c r="AO35" s="582"/>
      <c r="AP35" s="582"/>
      <c r="AQ35" s="412"/>
      <c r="AR35" s="412"/>
      <c r="AS35" s="412"/>
      <c r="AT35" s="412"/>
      <c r="AU35" s="412"/>
      <c r="AV35" s="413"/>
      <c r="AW35" s="545" t="s">
        <v>1317</v>
      </c>
      <c r="AX35" s="546"/>
      <c r="AY35" s="546"/>
      <c r="AZ35" s="546"/>
      <c r="BA35" s="546"/>
      <c r="BB35" s="546"/>
      <c r="BC35" s="546"/>
      <c r="BD35" s="546"/>
      <c r="BE35" s="546"/>
      <c r="BF35" s="547"/>
      <c r="BG35" s="431"/>
      <c r="BH35" s="420"/>
      <c r="BI35" s="583"/>
      <c r="BJ35" s="583"/>
      <c r="BK35" s="420"/>
      <c r="BL35" s="420"/>
      <c r="BM35" s="420"/>
      <c r="BN35" s="420"/>
      <c r="BO35" s="420"/>
      <c r="BP35" s="420"/>
      <c r="BQ35" s="420"/>
      <c r="BR35" s="420"/>
      <c r="BS35" s="583"/>
      <c r="BT35" s="583"/>
      <c r="BU35" s="420"/>
      <c r="BV35" s="420"/>
      <c r="BW35" s="420"/>
      <c r="BX35" s="420"/>
      <c r="BY35" s="420"/>
      <c r="BZ35" s="420"/>
      <c r="CA35" s="420"/>
      <c r="CB35" s="420"/>
      <c r="CC35" s="583"/>
      <c r="CD35" s="583"/>
      <c r="CE35" s="420"/>
      <c r="CF35" s="420"/>
      <c r="CG35" s="420"/>
      <c r="CH35" s="420"/>
      <c r="CI35" s="420"/>
      <c r="CJ35" s="420"/>
      <c r="CK35" s="420"/>
      <c r="CL35" s="420"/>
      <c r="CM35" s="583"/>
      <c r="CN35" s="583"/>
      <c r="CO35" s="420"/>
      <c r="CP35" s="420"/>
      <c r="CQ35" s="420"/>
      <c r="CR35" s="420"/>
      <c r="CS35" s="420"/>
      <c r="CT35" s="420"/>
    </row>
    <row r="36" spans="1:98">
      <c r="A36" s="246">
        <v>4</v>
      </c>
      <c r="B36" s="246" t="s">
        <v>1232</v>
      </c>
      <c r="C36" s="358" t="s">
        <v>1351</v>
      </c>
      <c r="D36" s="246" t="s">
        <v>1280</v>
      </c>
      <c r="E36" s="246"/>
      <c r="F36" s="268"/>
      <c r="G36" s="268">
        <v>5</v>
      </c>
      <c r="H36" s="246"/>
      <c r="I36" s="473"/>
      <c r="J36" s="473"/>
      <c r="K36" s="473"/>
      <c r="L36" s="473"/>
      <c r="M36" s="473"/>
      <c r="N36" s="473"/>
      <c r="O36" s="473"/>
      <c r="P36" s="473"/>
      <c r="Q36" s="473"/>
      <c r="R36" s="473"/>
      <c r="S36" s="473"/>
      <c r="T36" s="473"/>
      <c r="U36" s="473"/>
      <c r="V36" s="473"/>
      <c r="W36" s="473"/>
      <c r="X36" s="473"/>
      <c r="Y36" s="473"/>
      <c r="Z36" s="473"/>
      <c r="AA36" s="473"/>
      <c r="AB36" s="473"/>
      <c r="AC36" s="473"/>
      <c r="AD36" s="473"/>
      <c r="AE36" s="473"/>
      <c r="AF36" s="473"/>
      <c r="AG36" s="473"/>
      <c r="AH36" s="473"/>
      <c r="AI36" s="473"/>
      <c r="AJ36" s="473"/>
      <c r="AK36" s="473"/>
      <c r="AL36" s="473"/>
      <c r="AM36" s="404"/>
      <c r="AN36" s="238"/>
      <c r="AO36" s="238"/>
      <c r="AP36" s="238"/>
      <c r="AQ36" s="238"/>
      <c r="AR36" s="238"/>
      <c r="AS36" s="238"/>
      <c r="AT36" s="238"/>
      <c r="AU36" s="238"/>
      <c r="AV36" s="399"/>
      <c r="AW36" s="419"/>
      <c r="AX36" s="420"/>
      <c r="AY36" s="420"/>
      <c r="AZ36" s="420"/>
      <c r="BA36" s="420"/>
      <c r="BB36" s="238"/>
      <c r="BC36" s="238"/>
      <c r="BD36" s="238"/>
      <c r="BE36" s="238"/>
      <c r="BF36" s="400"/>
      <c r="BG36" s="404"/>
      <c r="BH36" s="238"/>
      <c r="BI36" s="238"/>
      <c r="BJ36" s="238"/>
      <c r="BK36" s="238"/>
      <c r="BL36" s="238"/>
      <c r="BM36" s="238"/>
      <c r="BN36" s="238"/>
      <c r="BO36" s="238"/>
      <c r="BP36" s="238"/>
      <c r="BQ36" s="238"/>
      <c r="BR36" s="238"/>
      <c r="BS36" s="238"/>
      <c r="BT36" s="238"/>
      <c r="BU36" s="238"/>
      <c r="BV36" s="238"/>
      <c r="BW36" s="238"/>
      <c r="BX36" s="238"/>
      <c r="BY36" s="238"/>
      <c r="BZ36" s="238"/>
      <c r="CA36" s="238"/>
      <c r="CB36" s="238"/>
      <c r="CC36" s="238"/>
      <c r="CD36" s="238"/>
      <c r="CE36" s="238"/>
      <c r="CF36" s="238"/>
      <c r="CG36" s="238"/>
      <c r="CH36" s="238"/>
      <c r="CI36" s="238"/>
      <c r="CJ36" s="238"/>
      <c r="CK36" s="238"/>
      <c r="CL36" s="238"/>
      <c r="CM36" s="238"/>
      <c r="CN36" s="238"/>
      <c r="CO36" s="238"/>
      <c r="CP36" s="238"/>
      <c r="CQ36" s="238"/>
      <c r="CR36" s="238"/>
      <c r="CS36" s="238"/>
      <c r="CT36" s="238"/>
    </row>
    <row r="37" spans="1:98">
      <c r="A37" s="246">
        <v>4</v>
      </c>
      <c r="B37" s="246" t="s">
        <v>1232</v>
      </c>
      <c r="C37" s="358" t="s">
        <v>1352</v>
      </c>
      <c r="D37" s="246" t="s">
        <v>1280</v>
      </c>
      <c r="E37" s="246"/>
      <c r="F37" s="268"/>
      <c r="G37" s="268">
        <v>4</v>
      </c>
      <c r="H37" s="246"/>
      <c r="I37" s="473"/>
      <c r="J37" s="473"/>
      <c r="K37" s="473"/>
      <c r="L37" s="473"/>
      <c r="M37" s="473"/>
      <c r="N37" s="473"/>
      <c r="O37" s="473"/>
      <c r="P37" s="473"/>
      <c r="Q37" s="473"/>
      <c r="R37" s="473"/>
      <c r="S37" s="473"/>
      <c r="T37" s="473"/>
      <c r="U37" s="473"/>
      <c r="V37" s="473"/>
      <c r="W37" s="473"/>
      <c r="X37" s="473"/>
      <c r="Y37" s="473"/>
      <c r="Z37" s="473"/>
      <c r="AA37" s="473"/>
      <c r="AB37" s="473"/>
      <c r="AC37" s="473"/>
      <c r="AD37" s="473"/>
      <c r="AE37" s="473"/>
      <c r="AF37" s="473"/>
      <c r="AG37" s="473"/>
      <c r="AH37" s="473"/>
      <c r="AI37" s="473"/>
      <c r="AJ37" s="473"/>
      <c r="AK37" s="473"/>
      <c r="AL37" s="473"/>
      <c r="AM37" s="404"/>
      <c r="AN37" s="238"/>
      <c r="AO37" s="238"/>
      <c r="AP37" s="238"/>
      <c r="AQ37" s="238"/>
      <c r="AR37" s="238"/>
      <c r="AS37" s="238"/>
      <c r="AT37" s="238"/>
      <c r="AU37" s="238"/>
      <c r="AV37" s="399"/>
      <c r="AW37" s="401"/>
      <c r="AX37" s="238"/>
      <c r="AY37" s="238"/>
      <c r="AZ37" s="238"/>
      <c r="BA37" s="420"/>
      <c r="BB37" s="420"/>
      <c r="BC37" s="420"/>
      <c r="BD37" s="420"/>
      <c r="BE37" s="238"/>
      <c r="BF37" s="400"/>
      <c r="BG37" s="404"/>
      <c r="BH37" s="238"/>
      <c r="BI37" s="238"/>
      <c r="BJ37" s="238"/>
      <c r="BK37" s="238"/>
      <c r="BL37" s="238"/>
      <c r="BM37" s="238"/>
      <c r="BN37" s="238"/>
      <c r="BO37" s="238"/>
      <c r="BP37" s="238"/>
      <c r="BQ37" s="238"/>
      <c r="BR37" s="238"/>
      <c r="BS37" s="238"/>
      <c r="BT37" s="238"/>
      <c r="BU37" s="238"/>
      <c r="BV37" s="238"/>
      <c r="BW37" s="238"/>
      <c r="BX37" s="238"/>
      <c r="BY37" s="238"/>
      <c r="BZ37" s="238"/>
      <c r="CA37" s="238"/>
      <c r="CB37" s="238"/>
      <c r="CC37" s="238"/>
      <c r="CD37" s="238"/>
      <c r="CE37" s="238"/>
      <c r="CF37" s="238"/>
      <c r="CG37" s="238"/>
      <c r="CH37" s="238"/>
      <c r="CI37" s="238"/>
      <c r="CJ37" s="238"/>
      <c r="CK37" s="238"/>
      <c r="CL37" s="238"/>
      <c r="CM37" s="238"/>
      <c r="CN37" s="238"/>
      <c r="CO37" s="238"/>
      <c r="CP37" s="238"/>
      <c r="CQ37" s="238"/>
      <c r="CR37" s="238"/>
      <c r="CS37" s="238"/>
      <c r="CT37" s="238"/>
    </row>
    <row r="38" spans="1:98">
      <c r="A38" s="246">
        <v>4</v>
      </c>
      <c r="B38" s="246" t="s">
        <v>1232</v>
      </c>
      <c r="C38" s="246" t="s">
        <v>1306</v>
      </c>
      <c r="D38" s="246" t="s">
        <v>1280</v>
      </c>
      <c r="E38" s="246"/>
      <c r="F38" s="268"/>
      <c r="G38" s="268">
        <v>8</v>
      </c>
      <c r="H38" s="246"/>
      <c r="I38" s="473"/>
      <c r="J38" s="473"/>
      <c r="K38" s="473"/>
      <c r="L38" s="473"/>
      <c r="M38" s="473"/>
      <c r="N38" s="473"/>
      <c r="O38" s="473"/>
      <c r="P38" s="473"/>
      <c r="Q38" s="473"/>
      <c r="R38" s="473"/>
      <c r="S38" s="473"/>
      <c r="T38" s="473"/>
      <c r="U38" s="473"/>
      <c r="V38" s="473"/>
      <c r="W38" s="473"/>
      <c r="X38" s="473"/>
      <c r="Y38" s="473"/>
      <c r="Z38" s="473"/>
      <c r="AA38" s="473"/>
      <c r="AB38" s="473"/>
      <c r="AC38" s="473"/>
      <c r="AD38" s="473"/>
      <c r="AE38" s="473"/>
      <c r="AF38" s="473"/>
      <c r="AG38" s="473"/>
      <c r="AH38" s="473"/>
      <c r="AI38" s="473"/>
      <c r="AJ38" s="473"/>
      <c r="AK38" s="473"/>
      <c r="AL38" s="473"/>
      <c r="AM38" s="404"/>
      <c r="AN38" s="238"/>
      <c r="AO38" s="238"/>
      <c r="AP38" s="238"/>
      <c r="AQ38" s="238"/>
      <c r="AR38" s="238"/>
      <c r="AS38" s="238"/>
      <c r="AT38" s="238"/>
      <c r="AU38" s="238"/>
      <c r="AV38" s="399"/>
      <c r="AW38" s="419"/>
      <c r="AX38" s="420"/>
      <c r="AY38" s="420"/>
      <c r="AZ38" s="420"/>
      <c r="BA38" s="420"/>
      <c r="BB38" s="420"/>
      <c r="BC38" s="420"/>
      <c r="BD38" s="420"/>
      <c r="BE38" s="238"/>
      <c r="BF38" s="400"/>
      <c r="BG38" s="404"/>
      <c r="BH38" s="238"/>
      <c r="BI38" s="238"/>
      <c r="BJ38" s="238"/>
      <c r="BK38" s="238"/>
      <c r="BL38" s="238"/>
      <c r="BM38" s="238"/>
      <c r="BN38" s="238"/>
      <c r="BO38" s="238"/>
      <c r="BP38" s="238"/>
      <c r="BQ38" s="238"/>
      <c r="BR38" s="238"/>
      <c r="BS38" s="238"/>
      <c r="BT38" s="238"/>
      <c r="BU38" s="238"/>
      <c r="BV38" s="238"/>
      <c r="BW38" s="238"/>
      <c r="BX38" s="238"/>
      <c r="BY38" s="238"/>
      <c r="BZ38" s="238"/>
      <c r="CA38" s="238"/>
      <c r="CB38" s="238"/>
      <c r="CC38" s="238"/>
      <c r="CD38" s="238"/>
      <c r="CE38" s="238"/>
      <c r="CF38" s="238"/>
      <c r="CG38" s="238"/>
      <c r="CH38" s="238"/>
      <c r="CI38" s="238"/>
      <c r="CJ38" s="238"/>
      <c r="CK38" s="238"/>
      <c r="CL38" s="238"/>
      <c r="CM38" s="238"/>
      <c r="CN38" s="238"/>
      <c r="CO38" s="238"/>
      <c r="CP38" s="238"/>
      <c r="CQ38" s="238"/>
      <c r="CR38" s="238"/>
      <c r="CS38" s="238"/>
      <c r="CT38" s="238"/>
    </row>
    <row r="39" spans="1:98">
      <c r="A39" s="246">
        <v>4</v>
      </c>
      <c r="B39" s="246" t="s">
        <v>1232</v>
      </c>
      <c r="C39" s="246" t="s">
        <v>1307</v>
      </c>
      <c r="D39" s="246" t="s">
        <v>1280</v>
      </c>
      <c r="E39" s="246"/>
      <c r="F39" s="268"/>
      <c r="G39" s="268">
        <v>2</v>
      </c>
      <c r="H39" s="246"/>
      <c r="I39" s="473"/>
      <c r="J39" s="473"/>
      <c r="K39" s="473"/>
      <c r="L39" s="473"/>
      <c r="M39" s="473"/>
      <c r="N39" s="473"/>
      <c r="O39" s="473"/>
      <c r="P39" s="473"/>
      <c r="Q39" s="473"/>
      <c r="R39" s="473"/>
      <c r="S39" s="473"/>
      <c r="T39" s="473"/>
      <c r="U39" s="473"/>
      <c r="V39" s="473"/>
      <c r="W39" s="473"/>
      <c r="X39" s="473"/>
      <c r="Y39" s="473"/>
      <c r="Z39" s="473"/>
      <c r="AA39" s="473"/>
      <c r="AB39" s="473"/>
      <c r="AC39" s="473"/>
      <c r="AD39" s="473"/>
      <c r="AE39" s="473"/>
      <c r="AF39" s="473"/>
      <c r="AG39" s="473"/>
      <c r="AH39" s="473"/>
      <c r="AI39" s="473"/>
      <c r="AJ39" s="473"/>
      <c r="AK39" s="473"/>
      <c r="AL39" s="473"/>
      <c r="AM39" s="404"/>
      <c r="AN39" s="238"/>
      <c r="AO39" s="238"/>
      <c r="AP39" s="238"/>
      <c r="AQ39" s="238"/>
      <c r="AR39" s="238"/>
      <c r="AS39" s="238"/>
      <c r="AT39" s="238"/>
      <c r="AU39" s="238"/>
      <c r="AV39" s="399"/>
      <c r="AW39" s="401"/>
      <c r="AX39" s="238"/>
      <c r="AY39" s="238"/>
      <c r="AZ39" s="238"/>
      <c r="BA39" s="238"/>
      <c r="BB39" s="238"/>
      <c r="BC39" s="238"/>
      <c r="BD39" s="238"/>
      <c r="BE39" s="420"/>
      <c r="BF39" s="421"/>
      <c r="BG39" s="404"/>
      <c r="BH39" s="238"/>
      <c r="BI39" s="238"/>
      <c r="BJ39" s="238"/>
      <c r="BK39" s="238"/>
      <c r="BL39" s="238"/>
      <c r="BM39" s="238"/>
      <c r="BN39" s="238"/>
      <c r="BO39" s="238"/>
      <c r="BP39" s="238"/>
      <c r="BQ39" s="238"/>
      <c r="BR39" s="238"/>
      <c r="BS39" s="238"/>
      <c r="BT39" s="238"/>
      <c r="BU39" s="238"/>
      <c r="BV39" s="238"/>
      <c r="BW39" s="238"/>
      <c r="BX39" s="238"/>
      <c r="BY39" s="238"/>
      <c r="BZ39" s="238"/>
      <c r="CA39" s="238"/>
      <c r="CB39" s="238"/>
      <c r="CC39" s="238"/>
      <c r="CD39" s="238"/>
      <c r="CE39" s="238"/>
      <c r="CF39" s="238"/>
      <c r="CG39" s="238"/>
      <c r="CH39" s="238"/>
      <c r="CI39" s="238"/>
      <c r="CJ39" s="238"/>
      <c r="CK39" s="238"/>
      <c r="CL39" s="238"/>
      <c r="CM39" s="238"/>
      <c r="CN39" s="238"/>
      <c r="CO39" s="238"/>
      <c r="CP39" s="238"/>
      <c r="CQ39" s="238"/>
      <c r="CR39" s="238"/>
      <c r="CS39" s="238"/>
      <c r="CT39" s="238"/>
    </row>
    <row r="40" spans="1:98">
      <c r="A40" s="246">
        <v>4</v>
      </c>
      <c r="B40" s="246" t="s">
        <v>1232</v>
      </c>
      <c r="C40" s="246" t="s">
        <v>1320</v>
      </c>
      <c r="D40" s="246" t="s">
        <v>1280</v>
      </c>
      <c r="E40" s="246"/>
      <c r="F40" s="268"/>
      <c r="G40" s="268">
        <v>1</v>
      </c>
      <c r="H40" s="246"/>
      <c r="I40" s="473"/>
      <c r="J40" s="473"/>
      <c r="K40" s="473"/>
      <c r="L40" s="473"/>
      <c r="M40" s="473"/>
      <c r="N40" s="473"/>
      <c r="O40" s="473"/>
      <c r="P40" s="473"/>
      <c r="Q40" s="473"/>
      <c r="R40" s="473"/>
      <c r="S40" s="473"/>
      <c r="T40" s="473"/>
      <c r="U40" s="473"/>
      <c r="V40" s="473"/>
      <c r="W40" s="473"/>
      <c r="X40" s="473"/>
      <c r="Y40" s="473"/>
      <c r="Z40" s="473"/>
      <c r="AA40" s="473"/>
      <c r="AB40" s="473"/>
      <c r="AC40" s="473"/>
      <c r="AD40" s="473"/>
      <c r="AE40" s="473"/>
      <c r="AF40" s="473"/>
      <c r="AG40" s="473"/>
      <c r="AH40" s="473"/>
      <c r="AI40" s="473"/>
      <c r="AJ40" s="473"/>
      <c r="AK40" s="473"/>
      <c r="AL40" s="473"/>
      <c r="AM40" s="404"/>
      <c r="AN40" s="238"/>
      <c r="AO40" s="238"/>
      <c r="AP40" s="238"/>
      <c r="AQ40" s="238"/>
      <c r="AR40" s="238"/>
      <c r="AS40" s="238"/>
      <c r="AT40" s="238"/>
      <c r="AU40" s="238"/>
      <c r="AV40" s="399"/>
      <c r="AW40" s="402"/>
      <c r="AX40" s="403"/>
      <c r="AY40" s="403"/>
      <c r="AZ40" s="403"/>
      <c r="BA40" s="403"/>
      <c r="BB40" s="403"/>
      <c r="BC40" s="403"/>
      <c r="BD40" s="403"/>
      <c r="BE40" s="403"/>
      <c r="BF40" s="422"/>
      <c r="BG40" s="408"/>
      <c r="BH40" s="409"/>
      <c r="BI40" s="409"/>
      <c r="BJ40" s="409"/>
      <c r="BK40" s="409"/>
      <c r="BL40" s="409"/>
      <c r="BM40" s="409"/>
      <c r="BN40" s="409"/>
      <c r="BO40" s="409"/>
      <c r="BP40" s="409"/>
      <c r="BQ40" s="238"/>
      <c r="BR40" s="238"/>
      <c r="BS40" s="238"/>
      <c r="BT40" s="238"/>
      <c r="BU40" s="238"/>
      <c r="BV40" s="238"/>
      <c r="BW40" s="238"/>
      <c r="BX40" s="238"/>
      <c r="BY40" s="238"/>
      <c r="BZ40" s="238"/>
      <c r="CA40" s="238"/>
      <c r="CB40" s="238"/>
      <c r="CC40" s="238"/>
      <c r="CD40" s="238"/>
      <c r="CE40" s="238"/>
      <c r="CF40" s="238"/>
      <c r="CG40" s="238"/>
      <c r="CH40" s="238"/>
      <c r="CI40" s="238"/>
      <c r="CJ40" s="238"/>
      <c r="CK40" s="238"/>
      <c r="CL40" s="238"/>
      <c r="CM40" s="238"/>
      <c r="CN40" s="238"/>
      <c r="CO40" s="238"/>
      <c r="CP40" s="238"/>
      <c r="CQ40" s="238"/>
      <c r="CR40" s="238"/>
      <c r="CS40" s="238"/>
      <c r="CT40" s="238"/>
    </row>
    <row r="41" spans="1:98">
      <c r="A41" s="425">
        <v>5</v>
      </c>
      <c r="B41" s="425" t="s">
        <v>1278</v>
      </c>
      <c r="C41" s="425" t="s">
        <v>1353</v>
      </c>
      <c r="D41" s="426" t="s">
        <v>1280</v>
      </c>
      <c r="E41" s="426" t="s">
        <v>1281</v>
      </c>
      <c r="F41" s="425"/>
      <c r="G41" s="425"/>
      <c r="H41" s="426"/>
      <c r="I41" s="480"/>
      <c r="J41" s="480"/>
      <c r="K41" s="480"/>
      <c r="L41" s="480"/>
      <c r="M41" s="480"/>
      <c r="N41" s="480"/>
      <c r="O41" s="480"/>
      <c r="P41" s="480"/>
      <c r="Q41" s="480"/>
      <c r="R41" s="480"/>
      <c r="S41" s="480"/>
      <c r="T41" s="480"/>
      <c r="U41" s="480"/>
      <c r="V41" s="480"/>
      <c r="W41" s="480"/>
      <c r="X41" s="480"/>
      <c r="Y41" s="480"/>
      <c r="Z41" s="480"/>
      <c r="AA41" s="480"/>
      <c r="AB41" s="480"/>
      <c r="AC41" s="480"/>
      <c r="AD41" s="480"/>
      <c r="AE41" s="480"/>
      <c r="AF41" s="480"/>
      <c r="AG41" s="480"/>
      <c r="AH41" s="480"/>
      <c r="AI41" s="480"/>
      <c r="AJ41" s="480"/>
      <c r="AK41" s="480"/>
      <c r="AL41" s="480"/>
      <c r="AM41" s="435"/>
      <c r="AN41" s="427"/>
      <c r="AO41" s="427"/>
      <c r="AP41" s="427"/>
      <c r="AQ41" s="584"/>
      <c r="AR41" s="584"/>
      <c r="AS41" s="427"/>
      <c r="AT41" s="427"/>
      <c r="AU41" s="427"/>
      <c r="AV41" s="427"/>
      <c r="AW41" s="428"/>
      <c r="AX41" s="429"/>
      <c r="AY41" s="429"/>
      <c r="AZ41" s="429"/>
      <c r="BA41" s="585"/>
      <c r="BB41" s="586"/>
      <c r="BC41" s="429"/>
      <c r="BD41" s="429"/>
      <c r="BE41" s="429"/>
      <c r="BF41" s="430"/>
      <c r="BG41" s="432" t="s">
        <v>1354</v>
      </c>
      <c r="BH41" s="433"/>
      <c r="BI41" s="433"/>
      <c r="BJ41" s="433"/>
      <c r="BK41" s="587"/>
      <c r="BL41" s="587"/>
      <c r="BM41" s="433"/>
      <c r="BN41" s="433"/>
      <c r="BO41" s="433"/>
      <c r="BP41" s="434"/>
      <c r="BQ41" s="435"/>
      <c r="BR41" s="427"/>
      <c r="BS41" s="427"/>
      <c r="BT41" s="427"/>
      <c r="BU41" s="584"/>
      <c r="BV41" s="584"/>
      <c r="BW41" s="427"/>
      <c r="BX41" s="427"/>
      <c r="BY41" s="427"/>
      <c r="BZ41" s="427"/>
      <c r="CA41" s="427"/>
      <c r="CB41" s="427"/>
      <c r="CC41" s="427"/>
      <c r="CD41" s="427"/>
      <c r="CE41" s="584"/>
      <c r="CF41" s="584"/>
      <c r="CG41" s="427"/>
      <c r="CH41" s="427"/>
      <c r="CI41" s="427"/>
      <c r="CJ41" s="427"/>
      <c r="CK41" s="427"/>
      <c r="CL41" s="427"/>
      <c r="CM41" s="427"/>
      <c r="CN41" s="427"/>
      <c r="CO41" s="584"/>
      <c r="CP41" s="584"/>
      <c r="CQ41" s="427"/>
      <c r="CR41" s="427"/>
      <c r="CS41" s="427"/>
      <c r="CT41" s="427"/>
    </row>
    <row r="42" spans="1:98">
      <c r="A42" s="246">
        <v>5</v>
      </c>
      <c r="B42" s="246" t="s">
        <v>1232</v>
      </c>
      <c r="C42" s="246" t="s">
        <v>1355</v>
      </c>
      <c r="D42" s="246" t="s">
        <v>1280</v>
      </c>
      <c r="E42" s="246"/>
      <c r="F42" s="268"/>
      <c r="G42" s="268">
        <v>2</v>
      </c>
      <c r="H42" s="246"/>
      <c r="I42" s="473"/>
      <c r="J42" s="473"/>
      <c r="K42" s="473"/>
      <c r="L42" s="473"/>
      <c r="M42" s="473"/>
      <c r="N42" s="473"/>
      <c r="O42" s="473"/>
      <c r="P42" s="473"/>
      <c r="Q42" s="473"/>
      <c r="R42" s="473"/>
      <c r="S42" s="473"/>
      <c r="T42" s="473"/>
      <c r="U42" s="473"/>
      <c r="V42" s="473"/>
      <c r="W42" s="473"/>
      <c r="X42" s="473"/>
      <c r="Y42" s="473"/>
      <c r="Z42" s="473"/>
      <c r="AA42" s="473"/>
      <c r="AB42" s="473"/>
      <c r="AC42" s="473"/>
      <c r="AD42" s="473"/>
      <c r="AE42" s="473"/>
      <c r="AF42" s="473"/>
      <c r="AG42" s="473"/>
      <c r="AH42" s="473"/>
      <c r="AI42" s="473"/>
      <c r="AJ42" s="473"/>
      <c r="AK42" s="473"/>
      <c r="AL42" s="473"/>
      <c r="AM42" s="404"/>
      <c r="AN42" s="238"/>
      <c r="AO42" s="238"/>
      <c r="AP42" s="238"/>
      <c r="AQ42" s="238"/>
      <c r="AR42" s="238"/>
      <c r="AS42" s="238"/>
      <c r="AT42" s="238"/>
      <c r="AU42" s="238"/>
      <c r="AV42" s="399"/>
      <c r="AW42" s="238"/>
      <c r="AX42" s="238"/>
      <c r="AY42" s="238"/>
      <c r="AZ42" s="238"/>
      <c r="BA42" s="238"/>
      <c r="BB42" s="238"/>
      <c r="BC42" s="238"/>
      <c r="BD42" s="238"/>
      <c r="BE42" s="238"/>
      <c r="BF42" s="423"/>
      <c r="BG42" s="436"/>
      <c r="BH42" s="427"/>
      <c r="BI42" s="238"/>
      <c r="BJ42" s="238"/>
      <c r="BK42" s="238"/>
      <c r="BL42" s="238"/>
      <c r="BM42" s="238"/>
      <c r="BN42" s="238"/>
      <c r="BO42" s="238"/>
      <c r="BP42" s="400"/>
      <c r="BQ42" s="404"/>
      <c r="BR42" s="238"/>
      <c r="BS42" s="238"/>
      <c r="BT42" s="238"/>
      <c r="BU42" s="238"/>
      <c r="BV42" s="238"/>
      <c r="BW42" s="238"/>
      <c r="BX42" s="238"/>
      <c r="BY42" s="238"/>
      <c r="BZ42" s="238"/>
      <c r="CA42" s="238"/>
      <c r="CB42" s="238"/>
      <c r="CC42" s="238"/>
      <c r="CD42" s="238"/>
      <c r="CE42" s="238"/>
      <c r="CF42" s="238"/>
      <c r="CG42" s="238"/>
      <c r="CH42" s="238"/>
      <c r="CI42" s="238"/>
      <c r="CJ42" s="238"/>
      <c r="CK42" s="238"/>
      <c r="CL42" s="238"/>
      <c r="CM42" s="238"/>
      <c r="CN42" s="238"/>
      <c r="CO42" s="238"/>
      <c r="CP42" s="238"/>
      <c r="CQ42" s="238"/>
      <c r="CR42" s="238"/>
      <c r="CS42" s="238"/>
      <c r="CT42" s="238"/>
    </row>
    <row r="43" spans="1:98">
      <c r="A43" s="246">
        <v>5</v>
      </c>
      <c r="B43" s="246" t="s">
        <v>1232</v>
      </c>
      <c r="C43" s="246" t="s">
        <v>1312</v>
      </c>
      <c r="D43" s="246" t="s">
        <v>1280</v>
      </c>
      <c r="E43" s="246"/>
      <c r="F43" s="268"/>
      <c r="G43" s="268">
        <v>4</v>
      </c>
      <c r="H43" s="246"/>
      <c r="I43" s="473"/>
      <c r="J43" s="473"/>
      <c r="K43" s="473"/>
      <c r="L43" s="473"/>
      <c r="M43" s="473"/>
      <c r="N43" s="473"/>
      <c r="O43" s="473"/>
      <c r="P43" s="473"/>
      <c r="Q43" s="473"/>
      <c r="R43" s="473"/>
      <c r="S43" s="473"/>
      <c r="T43" s="473"/>
      <c r="U43" s="473"/>
      <c r="V43" s="473"/>
      <c r="W43" s="473"/>
      <c r="X43" s="473"/>
      <c r="Y43" s="473"/>
      <c r="Z43" s="473"/>
      <c r="AA43" s="473"/>
      <c r="AB43" s="473"/>
      <c r="AC43" s="473"/>
      <c r="AD43" s="473"/>
      <c r="AE43" s="473"/>
      <c r="AF43" s="473"/>
      <c r="AG43" s="473"/>
      <c r="AH43" s="473"/>
      <c r="AI43" s="473"/>
      <c r="AJ43" s="473"/>
      <c r="AK43" s="473"/>
      <c r="AL43" s="473"/>
      <c r="AM43" s="404"/>
      <c r="AN43" s="238"/>
      <c r="AO43" s="238"/>
      <c r="AP43" s="238"/>
      <c r="AQ43" s="238"/>
      <c r="AR43" s="238"/>
      <c r="AS43" s="238"/>
      <c r="AT43" s="238"/>
      <c r="AU43" s="238"/>
      <c r="AV43" s="399"/>
      <c r="AW43" s="238"/>
      <c r="AX43" s="238"/>
      <c r="AY43" s="238"/>
      <c r="AZ43" s="238"/>
      <c r="BA43" s="238"/>
      <c r="BB43" s="238"/>
      <c r="BC43" s="238"/>
      <c r="BD43" s="238"/>
      <c r="BE43" s="238"/>
      <c r="BF43" s="423"/>
      <c r="BG43" s="401"/>
      <c r="BH43" s="238"/>
      <c r="BI43" s="427"/>
      <c r="BJ43" s="427"/>
      <c r="BK43" s="427"/>
      <c r="BL43" s="427"/>
      <c r="BM43" s="238"/>
      <c r="BN43" s="238"/>
      <c r="BO43" s="238"/>
      <c r="BP43" s="400"/>
      <c r="BQ43" s="404"/>
      <c r="BR43" s="238"/>
      <c r="BS43" s="238"/>
      <c r="BT43" s="238"/>
      <c r="BU43" s="238"/>
      <c r="BV43" s="238"/>
      <c r="BW43" s="238"/>
      <c r="BX43" s="238"/>
      <c r="BY43" s="238"/>
      <c r="BZ43" s="238"/>
      <c r="CA43" s="238"/>
      <c r="CB43" s="238"/>
      <c r="CC43" s="238"/>
      <c r="CD43" s="238"/>
      <c r="CE43" s="238"/>
      <c r="CF43" s="238"/>
      <c r="CG43" s="238"/>
      <c r="CH43" s="238"/>
      <c r="CI43" s="238"/>
      <c r="CJ43" s="238"/>
      <c r="CK43" s="238"/>
      <c r="CL43" s="238"/>
      <c r="CM43" s="238"/>
      <c r="CN43" s="238"/>
      <c r="CO43" s="238"/>
      <c r="CP43" s="238"/>
      <c r="CQ43" s="238"/>
      <c r="CR43" s="238"/>
      <c r="CS43" s="238"/>
      <c r="CT43" s="238"/>
    </row>
    <row r="44" spans="1:98">
      <c r="A44" s="246">
        <v>5</v>
      </c>
      <c r="B44" s="246" t="s">
        <v>1232</v>
      </c>
      <c r="C44" s="246" t="s">
        <v>1356</v>
      </c>
      <c r="D44" s="246" t="s">
        <v>1280</v>
      </c>
      <c r="E44" s="246"/>
      <c r="F44" s="268"/>
      <c r="G44" s="268">
        <v>4</v>
      </c>
      <c r="H44" s="246"/>
      <c r="I44" s="473"/>
      <c r="J44" s="473"/>
      <c r="K44" s="473"/>
      <c r="L44" s="473"/>
      <c r="M44" s="473"/>
      <c r="N44" s="473"/>
      <c r="O44" s="473"/>
      <c r="P44" s="473"/>
      <c r="Q44" s="473"/>
      <c r="R44" s="473"/>
      <c r="S44" s="473"/>
      <c r="T44" s="473"/>
      <c r="U44" s="473"/>
      <c r="V44" s="473"/>
      <c r="W44" s="473"/>
      <c r="X44" s="473"/>
      <c r="Y44" s="473"/>
      <c r="Z44" s="473"/>
      <c r="AA44" s="473"/>
      <c r="AB44" s="473"/>
      <c r="AC44" s="473"/>
      <c r="AD44" s="473"/>
      <c r="AE44" s="473"/>
      <c r="AF44" s="473"/>
      <c r="AG44" s="473"/>
      <c r="AH44" s="473"/>
      <c r="AI44" s="473"/>
      <c r="AJ44" s="473"/>
      <c r="AK44" s="473"/>
      <c r="AL44" s="473"/>
      <c r="AM44" s="404"/>
      <c r="AN44" s="238"/>
      <c r="AO44" s="238"/>
      <c r="AP44" s="238"/>
      <c r="AQ44" s="238"/>
      <c r="AR44" s="238"/>
      <c r="AS44" s="238"/>
      <c r="AT44" s="238"/>
      <c r="AU44" s="238"/>
      <c r="AV44" s="399"/>
      <c r="AW44" s="238"/>
      <c r="AX44" s="238"/>
      <c r="AY44" s="238"/>
      <c r="AZ44" s="238"/>
      <c r="BA44" s="238"/>
      <c r="BB44" s="238"/>
      <c r="BC44" s="238"/>
      <c r="BD44" s="238"/>
      <c r="BE44" s="238"/>
      <c r="BF44" s="423"/>
      <c r="BG44" s="401"/>
      <c r="BH44" s="238"/>
      <c r="BI44" s="238"/>
      <c r="BJ44" s="238"/>
      <c r="BK44" s="238"/>
      <c r="BL44" s="427"/>
      <c r="BM44" s="427"/>
      <c r="BN44" s="427"/>
      <c r="BO44" s="427"/>
      <c r="BP44" s="400"/>
      <c r="BQ44" s="404"/>
      <c r="BR44" s="238"/>
      <c r="BS44" s="238"/>
      <c r="BT44" s="238"/>
      <c r="BU44" s="238"/>
      <c r="BV44" s="238"/>
      <c r="BW44" s="238"/>
      <c r="BX44" s="238"/>
      <c r="BY44" s="238"/>
      <c r="BZ44" s="238"/>
      <c r="CA44" s="238"/>
      <c r="CB44" s="238"/>
      <c r="CC44" s="238"/>
      <c r="CD44" s="238"/>
      <c r="CE44" s="238"/>
      <c r="CF44" s="238"/>
      <c r="CG44" s="238"/>
      <c r="CH44" s="238"/>
      <c r="CI44" s="238"/>
      <c r="CJ44" s="238"/>
      <c r="CK44" s="238"/>
      <c r="CL44" s="238"/>
      <c r="CM44" s="238"/>
      <c r="CN44" s="238"/>
      <c r="CO44" s="238"/>
      <c r="CP44" s="238"/>
      <c r="CQ44" s="238"/>
      <c r="CR44" s="238"/>
      <c r="CS44" s="238"/>
      <c r="CT44" s="238"/>
    </row>
    <row r="45" spans="1:98">
      <c r="A45" s="246">
        <v>5</v>
      </c>
      <c r="B45" s="246" t="s">
        <v>1232</v>
      </c>
      <c r="C45" s="246" t="s">
        <v>1306</v>
      </c>
      <c r="D45" s="246" t="s">
        <v>1280</v>
      </c>
      <c r="E45" s="246"/>
      <c r="F45" s="268"/>
      <c r="G45" s="268">
        <v>8</v>
      </c>
      <c r="H45" s="246"/>
      <c r="I45" s="473"/>
      <c r="J45" s="473"/>
      <c r="K45" s="473"/>
      <c r="L45" s="473"/>
      <c r="M45" s="473"/>
      <c r="N45" s="473"/>
      <c r="O45" s="473"/>
      <c r="P45" s="473"/>
      <c r="Q45" s="473"/>
      <c r="R45" s="473"/>
      <c r="S45" s="473"/>
      <c r="T45" s="473"/>
      <c r="U45" s="473"/>
      <c r="V45" s="473"/>
      <c r="W45" s="473"/>
      <c r="X45" s="473"/>
      <c r="Y45" s="473"/>
      <c r="Z45" s="473"/>
      <c r="AA45" s="473"/>
      <c r="AB45" s="473"/>
      <c r="AC45" s="473"/>
      <c r="AD45" s="473"/>
      <c r="AE45" s="473"/>
      <c r="AF45" s="473"/>
      <c r="AG45" s="473"/>
      <c r="AH45" s="473"/>
      <c r="AI45" s="473"/>
      <c r="AJ45" s="473"/>
      <c r="AK45" s="473"/>
      <c r="AL45" s="473"/>
      <c r="AM45" s="404"/>
      <c r="AN45" s="238"/>
      <c r="AO45" s="238"/>
      <c r="AP45" s="238"/>
      <c r="AQ45" s="238"/>
      <c r="AR45" s="238"/>
      <c r="AS45" s="238"/>
      <c r="AT45" s="238"/>
      <c r="AU45" s="238"/>
      <c r="AV45" s="399"/>
      <c r="AW45" s="238"/>
      <c r="AX45" s="238"/>
      <c r="AY45" s="238"/>
      <c r="AZ45" s="238"/>
      <c r="BA45" s="238"/>
      <c r="BB45" s="238"/>
      <c r="BC45" s="238"/>
      <c r="BD45" s="238"/>
      <c r="BE45" s="238"/>
      <c r="BF45" s="423"/>
      <c r="BG45" s="436"/>
      <c r="BH45" s="427"/>
      <c r="BI45" s="427"/>
      <c r="BJ45" s="427"/>
      <c r="BK45" s="427"/>
      <c r="BL45" s="427"/>
      <c r="BM45" s="427"/>
      <c r="BN45" s="427"/>
      <c r="BO45" s="238"/>
      <c r="BP45" s="400"/>
      <c r="BQ45" s="404"/>
      <c r="BR45" s="238"/>
      <c r="BS45" s="238"/>
      <c r="BT45" s="238"/>
      <c r="BU45" s="238"/>
      <c r="BV45" s="238"/>
      <c r="BW45" s="238"/>
      <c r="BX45" s="238"/>
      <c r="BY45" s="238"/>
      <c r="BZ45" s="238"/>
      <c r="CA45" s="238"/>
      <c r="CB45" s="238"/>
      <c r="CC45" s="238"/>
      <c r="CD45" s="238"/>
      <c r="CE45" s="238"/>
      <c r="CF45" s="238"/>
      <c r="CG45" s="238"/>
      <c r="CH45" s="238"/>
      <c r="CI45" s="238"/>
      <c r="CJ45" s="238"/>
      <c r="CK45" s="238"/>
      <c r="CL45" s="238"/>
      <c r="CM45" s="238"/>
      <c r="CN45" s="238"/>
      <c r="CO45" s="238"/>
      <c r="CP45" s="238"/>
      <c r="CQ45" s="238"/>
      <c r="CR45" s="238"/>
      <c r="CS45" s="238"/>
      <c r="CT45" s="238"/>
    </row>
    <row r="46" spans="1:98">
      <c r="A46" s="246">
        <v>5</v>
      </c>
      <c r="B46" s="246" t="s">
        <v>1232</v>
      </c>
      <c r="C46" s="246" t="s">
        <v>1307</v>
      </c>
      <c r="D46" s="246" t="s">
        <v>1280</v>
      </c>
      <c r="E46" s="246"/>
      <c r="F46" s="268"/>
      <c r="G46" s="268">
        <v>2</v>
      </c>
      <c r="H46" s="246"/>
      <c r="I46" s="473"/>
      <c r="J46" s="473"/>
      <c r="K46" s="473"/>
      <c r="L46" s="473"/>
      <c r="M46" s="473"/>
      <c r="N46" s="473"/>
      <c r="O46" s="473"/>
      <c r="P46" s="473"/>
      <c r="Q46" s="473"/>
      <c r="R46" s="473"/>
      <c r="S46" s="473"/>
      <c r="T46" s="473"/>
      <c r="U46" s="473"/>
      <c r="V46" s="473"/>
      <c r="W46" s="473"/>
      <c r="X46" s="473"/>
      <c r="Y46" s="473"/>
      <c r="Z46" s="473"/>
      <c r="AA46" s="473"/>
      <c r="AB46" s="473"/>
      <c r="AC46" s="473"/>
      <c r="AD46" s="473"/>
      <c r="AE46" s="473"/>
      <c r="AF46" s="473"/>
      <c r="AG46" s="473"/>
      <c r="AH46" s="473"/>
      <c r="AI46" s="473"/>
      <c r="AJ46" s="473"/>
      <c r="AK46" s="473"/>
      <c r="AL46" s="473"/>
      <c r="AM46" s="404"/>
      <c r="AN46" s="238"/>
      <c r="AO46" s="238"/>
      <c r="AP46" s="238"/>
      <c r="AQ46" s="238"/>
      <c r="AR46" s="238"/>
      <c r="AS46" s="238"/>
      <c r="AT46" s="238"/>
      <c r="AU46" s="238"/>
      <c r="AV46" s="399"/>
      <c r="AW46" s="238"/>
      <c r="AX46" s="238"/>
      <c r="AY46" s="238"/>
      <c r="AZ46" s="238"/>
      <c r="BA46" s="238"/>
      <c r="BB46" s="238"/>
      <c r="BC46" s="238"/>
      <c r="BD46" s="238"/>
      <c r="BE46" s="238"/>
      <c r="BF46" s="423"/>
      <c r="BG46" s="401"/>
      <c r="BH46" s="238"/>
      <c r="BI46" s="238"/>
      <c r="BJ46" s="238"/>
      <c r="BK46" s="238"/>
      <c r="BL46" s="238"/>
      <c r="BM46" s="238"/>
      <c r="BN46" s="238"/>
      <c r="BO46" s="427"/>
      <c r="BP46" s="437"/>
      <c r="BQ46" s="404"/>
      <c r="BR46" s="238"/>
      <c r="BS46" s="238"/>
      <c r="BT46" s="238"/>
      <c r="BU46" s="238"/>
      <c r="BV46" s="238"/>
      <c r="BW46" s="238"/>
      <c r="BX46" s="238"/>
      <c r="BY46" s="238"/>
      <c r="BZ46" s="238"/>
      <c r="CA46" s="238"/>
      <c r="CB46" s="238"/>
      <c r="CC46" s="238"/>
      <c r="CD46" s="238"/>
      <c r="CE46" s="238"/>
      <c r="CF46" s="238"/>
      <c r="CG46" s="238"/>
      <c r="CH46" s="238"/>
      <c r="CI46" s="238"/>
      <c r="CJ46" s="238"/>
      <c r="CK46" s="238"/>
      <c r="CL46" s="238"/>
      <c r="CM46" s="238"/>
      <c r="CN46" s="238"/>
      <c r="CO46" s="238"/>
      <c r="CP46" s="238"/>
      <c r="CQ46" s="238"/>
      <c r="CR46" s="238"/>
      <c r="CS46" s="238"/>
      <c r="CT46" s="238"/>
    </row>
    <row r="47" spans="1:98">
      <c r="A47" s="246">
        <v>5</v>
      </c>
      <c r="B47" s="246" t="s">
        <v>1232</v>
      </c>
      <c r="C47" s="246" t="s">
        <v>1357</v>
      </c>
      <c r="D47" s="246" t="s">
        <v>1280</v>
      </c>
      <c r="E47" s="246"/>
      <c r="F47" s="268"/>
      <c r="G47" s="268">
        <v>1</v>
      </c>
      <c r="H47" s="246"/>
      <c r="I47" s="473"/>
      <c r="J47" s="473"/>
      <c r="K47" s="473"/>
      <c r="L47" s="473"/>
      <c r="M47" s="473"/>
      <c r="N47" s="473"/>
      <c r="O47" s="473"/>
      <c r="P47" s="473"/>
      <c r="Q47" s="473"/>
      <c r="R47" s="473"/>
      <c r="S47" s="473"/>
      <c r="T47" s="473"/>
      <c r="U47" s="473"/>
      <c r="V47" s="473"/>
      <c r="W47" s="473"/>
      <c r="X47" s="473"/>
      <c r="Y47" s="473"/>
      <c r="Z47" s="473"/>
      <c r="AA47" s="473"/>
      <c r="AB47" s="473"/>
      <c r="AC47" s="473"/>
      <c r="AD47" s="473"/>
      <c r="AE47" s="473"/>
      <c r="AF47" s="473"/>
      <c r="AG47" s="473"/>
      <c r="AH47" s="473"/>
      <c r="AI47" s="473"/>
      <c r="AJ47" s="473"/>
      <c r="AK47" s="473"/>
      <c r="AL47" s="473"/>
      <c r="AM47" s="404"/>
      <c r="AN47" s="238"/>
      <c r="AO47" s="238"/>
      <c r="AP47" s="238"/>
      <c r="AQ47" s="238"/>
      <c r="AR47" s="238"/>
      <c r="AS47" s="238"/>
      <c r="AT47" s="238"/>
      <c r="AU47" s="238"/>
      <c r="AV47" s="399"/>
      <c r="AW47" s="238"/>
      <c r="AX47" s="238"/>
      <c r="AY47" s="238"/>
      <c r="AZ47" s="238"/>
      <c r="BA47" s="238"/>
      <c r="BB47" s="238"/>
      <c r="BC47" s="238"/>
      <c r="BD47" s="238"/>
      <c r="BE47" s="238"/>
      <c r="BF47" s="423"/>
      <c r="BG47" s="402"/>
      <c r="BH47" s="403"/>
      <c r="BI47" s="403"/>
      <c r="BJ47" s="403"/>
      <c r="BK47" s="403"/>
      <c r="BL47" s="403"/>
      <c r="BM47" s="403"/>
      <c r="BN47" s="403"/>
      <c r="BO47" s="403"/>
      <c r="BP47" s="438"/>
      <c r="BQ47" s="408"/>
      <c r="BR47" s="409"/>
      <c r="BS47" s="409"/>
      <c r="BT47" s="409"/>
      <c r="BU47" s="409"/>
      <c r="BV47" s="409"/>
      <c r="BW47" s="409"/>
      <c r="BX47" s="409"/>
      <c r="BY47" s="409"/>
      <c r="BZ47" s="409"/>
      <c r="CA47" s="238"/>
      <c r="CB47" s="238"/>
      <c r="CC47" s="238"/>
      <c r="CD47" s="238"/>
      <c r="CE47" s="238"/>
      <c r="CF47" s="238"/>
      <c r="CG47" s="238"/>
      <c r="CH47" s="238"/>
      <c r="CI47" s="238"/>
      <c r="CJ47" s="238"/>
      <c r="CK47" s="238"/>
      <c r="CL47" s="238"/>
      <c r="CM47" s="238"/>
      <c r="CN47" s="238"/>
      <c r="CO47" s="238"/>
      <c r="CP47" s="238"/>
      <c r="CQ47" s="238"/>
      <c r="CR47" s="238"/>
      <c r="CS47" s="238"/>
      <c r="CT47" s="238"/>
    </row>
    <row r="48" spans="1:98">
      <c r="A48" s="439">
        <v>6</v>
      </c>
      <c r="B48" s="439" t="s">
        <v>1278</v>
      </c>
      <c r="C48" s="439" t="s">
        <v>1358</v>
      </c>
      <c r="D48" s="440" t="s">
        <v>1280</v>
      </c>
      <c r="E48" s="440" t="s">
        <v>1281</v>
      </c>
      <c r="F48" s="439"/>
      <c r="G48" s="439"/>
      <c r="H48" s="440"/>
      <c r="I48" s="481"/>
      <c r="J48" s="481"/>
      <c r="K48" s="481"/>
      <c r="L48" s="481"/>
      <c r="M48" s="481"/>
      <c r="N48" s="481"/>
      <c r="O48" s="481"/>
      <c r="P48" s="481"/>
      <c r="Q48" s="481"/>
      <c r="R48" s="481"/>
      <c r="S48" s="481"/>
      <c r="T48" s="481"/>
      <c r="U48" s="481"/>
      <c r="V48" s="481"/>
      <c r="W48" s="481"/>
      <c r="X48" s="481"/>
      <c r="Y48" s="481"/>
      <c r="Z48" s="481"/>
      <c r="AA48" s="481"/>
      <c r="AB48" s="481"/>
      <c r="AC48" s="481"/>
      <c r="AD48" s="481"/>
      <c r="AE48" s="481"/>
      <c r="AF48" s="481"/>
      <c r="AG48" s="481"/>
      <c r="AH48" s="481"/>
      <c r="AI48" s="481"/>
      <c r="AJ48" s="481"/>
      <c r="AK48" s="481"/>
      <c r="AL48" s="481"/>
      <c r="AM48" s="447"/>
      <c r="AN48" s="441"/>
      <c r="AO48" s="441"/>
      <c r="AP48" s="441"/>
      <c r="AQ48" s="441"/>
      <c r="AR48" s="441"/>
      <c r="AS48" s="588"/>
      <c r="AT48" s="588"/>
      <c r="AU48" s="441"/>
      <c r="AV48" s="441"/>
      <c r="AW48" s="442"/>
      <c r="AX48" s="443"/>
      <c r="AY48" s="443"/>
      <c r="AZ48" s="443"/>
      <c r="BA48" s="443"/>
      <c r="BB48" s="443"/>
      <c r="BC48" s="589"/>
      <c r="BD48" s="590"/>
      <c r="BE48" s="443"/>
      <c r="BF48" s="444"/>
      <c r="BG48" s="445"/>
      <c r="BH48" s="445"/>
      <c r="BI48" s="445"/>
      <c r="BJ48" s="445"/>
      <c r="BK48" s="445"/>
      <c r="BL48" s="445"/>
      <c r="BM48" s="591"/>
      <c r="BN48" s="591"/>
      <c r="BO48" s="445"/>
      <c r="BP48" s="446"/>
      <c r="BQ48" s="551" t="s">
        <v>1359</v>
      </c>
      <c r="BR48" s="552"/>
      <c r="BS48" s="552"/>
      <c r="BT48" s="552"/>
      <c r="BU48" s="552"/>
      <c r="BV48" s="552"/>
      <c r="BW48" s="552"/>
      <c r="BX48" s="552"/>
      <c r="BY48" s="552"/>
      <c r="BZ48" s="553"/>
      <c r="CA48" s="447"/>
      <c r="CB48" s="441"/>
      <c r="CC48" s="441"/>
      <c r="CD48" s="441"/>
      <c r="CE48" s="441"/>
      <c r="CF48" s="441"/>
      <c r="CG48" s="588"/>
      <c r="CH48" s="588"/>
      <c r="CI48" s="441"/>
      <c r="CJ48" s="441"/>
      <c r="CK48" s="441"/>
      <c r="CL48" s="441"/>
      <c r="CM48" s="441"/>
      <c r="CN48" s="441"/>
      <c r="CO48" s="441"/>
      <c r="CP48" s="441"/>
      <c r="CQ48" s="588"/>
      <c r="CR48" s="588"/>
      <c r="CS48" s="441"/>
      <c r="CT48" s="441"/>
    </row>
    <row r="49" spans="1:98">
      <c r="A49" s="246">
        <v>6</v>
      </c>
      <c r="B49" s="246" t="s">
        <v>1232</v>
      </c>
      <c r="C49" s="246" t="s">
        <v>1360</v>
      </c>
      <c r="D49" s="246" t="s">
        <v>1280</v>
      </c>
      <c r="E49" s="246"/>
      <c r="F49" s="268"/>
      <c r="G49" s="268">
        <v>3</v>
      </c>
      <c r="H49" s="246"/>
      <c r="I49" s="473"/>
      <c r="J49" s="473"/>
      <c r="K49" s="473"/>
      <c r="L49" s="473"/>
      <c r="M49" s="473"/>
      <c r="N49" s="473"/>
      <c r="O49" s="473"/>
      <c r="P49" s="473"/>
      <c r="Q49" s="473"/>
      <c r="R49" s="473"/>
      <c r="S49" s="473"/>
      <c r="T49" s="473"/>
      <c r="U49" s="473"/>
      <c r="V49" s="473"/>
      <c r="W49" s="473"/>
      <c r="X49" s="473"/>
      <c r="Y49" s="473"/>
      <c r="Z49" s="473"/>
      <c r="AA49" s="473"/>
      <c r="AB49" s="473"/>
      <c r="AC49" s="473"/>
      <c r="AD49" s="473"/>
      <c r="AE49" s="473"/>
      <c r="AF49" s="473"/>
      <c r="AG49" s="473"/>
      <c r="AH49" s="473"/>
      <c r="AI49" s="473"/>
      <c r="AJ49" s="473"/>
      <c r="AK49" s="473"/>
      <c r="AL49" s="473"/>
      <c r="AM49" s="404"/>
      <c r="AN49" s="238"/>
      <c r="AO49" s="238"/>
      <c r="AP49" s="238"/>
      <c r="AQ49" s="238"/>
      <c r="AR49" s="238"/>
      <c r="AS49" s="238"/>
      <c r="AT49" s="238"/>
      <c r="AU49" s="238"/>
      <c r="AV49" s="238"/>
      <c r="AW49" s="423"/>
      <c r="AX49" s="238"/>
      <c r="AY49" s="238"/>
      <c r="AZ49" s="238"/>
      <c r="BA49" s="238"/>
      <c r="BB49" s="238"/>
      <c r="BC49" s="238"/>
      <c r="BD49" s="238"/>
      <c r="BE49" s="238"/>
      <c r="BF49" s="399"/>
      <c r="BG49" s="238"/>
      <c r="BH49" s="238"/>
      <c r="BI49" s="238"/>
      <c r="BJ49" s="238"/>
      <c r="BK49" s="238"/>
      <c r="BL49" s="238"/>
      <c r="BM49" s="238"/>
      <c r="BN49" s="238"/>
      <c r="BO49" s="238"/>
      <c r="BP49" s="399"/>
      <c r="BQ49" s="448"/>
      <c r="BR49" s="441"/>
      <c r="BS49" s="441"/>
      <c r="BT49" s="238"/>
      <c r="BU49" s="238"/>
      <c r="BV49" s="238"/>
      <c r="BW49" s="238"/>
      <c r="BX49" s="238"/>
      <c r="BY49" s="238"/>
      <c r="BZ49" s="400"/>
      <c r="CA49" s="404"/>
      <c r="CB49" s="238"/>
      <c r="CC49" s="238"/>
      <c r="CD49" s="238"/>
      <c r="CE49" s="238"/>
      <c r="CF49" s="238"/>
      <c r="CG49" s="238"/>
      <c r="CH49" s="238"/>
      <c r="CI49" s="238"/>
      <c r="CJ49" s="238"/>
      <c r="CK49" s="238"/>
      <c r="CL49" s="238"/>
      <c r="CM49" s="238"/>
      <c r="CN49" s="238"/>
      <c r="CO49" s="238"/>
      <c r="CP49" s="238"/>
      <c r="CQ49" s="238"/>
      <c r="CR49" s="238"/>
      <c r="CS49" s="238"/>
      <c r="CT49" s="238"/>
    </row>
    <row r="50" spans="1:98">
      <c r="A50" s="246">
        <v>6</v>
      </c>
      <c r="B50" s="246" t="s">
        <v>1232</v>
      </c>
      <c r="C50" s="246" t="s">
        <v>1361</v>
      </c>
      <c r="D50" s="246" t="s">
        <v>1280</v>
      </c>
      <c r="E50" s="246"/>
      <c r="F50" s="268"/>
      <c r="G50" s="268">
        <v>3</v>
      </c>
      <c r="H50" s="246"/>
      <c r="I50" s="473"/>
      <c r="J50" s="473"/>
      <c r="K50" s="473"/>
      <c r="L50" s="473"/>
      <c r="M50" s="473"/>
      <c r="N50" s="473"/>
      <c r="O50" s="473"/>
      <c r="P50" s="473"/>
      <c r="Q50" s="473"/>
      <c r="R50" s="473"/>
      <c r="S50" s="473"/>
      <c r="T50" s="473"/>
      <c r="U50" s="473"/>
      <c r="V50" s="473"/>
      <c r="W50" s="473"/>
      <c r="X50" s="473"/>
      <c r="Y50" s="473"/>
      <c r="Z50" s="473"/>
      <c r="AA50" s="473"/>
      <c r="AB50" s="473"/>
      <c r="AC50" s="473"/>
      <c r="AD50" s="473"/>
      <c r="AE50" s="473"/>
      <c r="AF50" s="473"/>
      <c r="AG50" s="473"/>
      <c r="AH50" s="473"/>
      <c r="AI50" s="473"/>
      <c r="AJ50" s="473"/>
      <c r="AK50" s="473"/>
      <c r="AL50" s="473"/>
      <c r="AM50" s="404"/>
      <c r="AN50" s="238"/>
      <c r="AO50" s="238"/>
      <c r="AP50" s="238"/>
      <c r="AQ50" s="238"/>
      <c r="AR50" s="238"/>
      <c r="AS50" s="238"/>
      <c r="AT50" s="238"/>
      <c r="AU50" s="238"/>
      <c r="AV50" s="238"/>
      <c r="AW50" s="423"/>
      <c r="AX50" s="238"/>
      <c r="AY50" s="238"/>
      <c r="AZ50" s="238"/>
      <c r="BA50" s="238"/>
      <c r="BB50" s="238"/>
      <c r="BC50" s="238"/>
      <c r="BD50" s="238"/>
      <c r="BE50" s="238"/>
      <c r="BF50" s="399"/>
      <c r="BG50" s="238"/>
      <c r="BH50" s="238"/>
      <c r="BI50" s="238"/>
      <c r="BJ50" s="238"/>
      <c r="BK50" s="238"/>
      <c r="BL50" s="238"/>
      <c r="BM50" s="238"/>
      <c r="BN50" s="238"/>
      <c r="BO50" s="238"/>
      <c r="BP50" s="399"/>
      <c r="BQ50" s="401"/>
      <c r="BR50" s="238"/>
      <c r="BS50" s="238"/>
      <c r="BT50" s="441"/>
      <c r="BU50" s="441"/>
      <c r="BV50" s="441"/>
      <c r="BW50" s="238"/>
      <c r="BX50" s="238"/>
      <c r="BY50" s="238"/>
      <c r="BZ50" s="400"/>
      <c r="CA50" s="404"/>
      <c r="CB50" s="238"/>
      <c r="CC50" s="238"/>
      <c r="CD50" s="238"/>
      <c r="CE50" s="238"/>
      <c r="CF50" s="238"/>
      <c r="CG50" s="238"/>
      <c r="CH50" s="238"/>
      <c r="CI50" s="238"/>
      <c r="CJ50" s="238"/>
      <c r="CK50" s="238"/>
      <c r="CL50" s="238"/>
      <c r="CM50" s="238"/>
      <c r="CN50" s="238"/>
      <c r="CO50" s="238"/>
      <c r="CP50" s="238"/>
      <c r="CQ50" s="238"/>
      <c r="CR50" s="238"/>
      <c r="CS50" s="238"/>
      <c r="CT50" s="238"/>
    </row>
    <row r="51" spans="1:98">
      <c r="A51" s="246">
        <v>6</v>
      </c>
      <c r="B51" s="246" t="s">
        <v>1232</v>
      </c>
      <c r="C51" s="246" t="s">
        <v>1362</v>
      </c>
      <c r="D51" s="246" t="s">
        <v>1280</v>
      </c>
      <c r="E51" s="246"/>
      <c r="F51" s="268"/>
      <c r="G51" s="268">
        <v>3</v>
      </c>
      <c r="H51" s="246"/>
      <c r="I51" s="473"/>
      <c r="J51" s="473"/>
      <c r="K51" s="473"/>
      <c r="L51" s="473"/>
      <c r="M51" s="473"/>
      <c r="N51" s="473"/>
      <c r="O51" s="473"/>
      <c r="P51" s="473"/>
      <c r="Q51" s="473"/>
      <c r="R51" s="473"/>
      <c r="S51" s="473"/>
      <c r="T51" s="473"/>
      <c r="U51" s="473"/>
      <c r="V51" s="473"/>
      <c r="W51" s="473"/>
      <c r="X51" s="473"/>
      <c r="Y51" s="473"/>
      <c r="Z51" s="473"/>
      <c r="AA51" s="473"/>
      <c r="AB51" s="473"/>
      <c r="AC51" s="473"/>
      <c r="AD51" s="473"/>
      <c r="AE51" s="473"/>
      <c r="AF51" s="473"/>
      <c r="AG51" s="473"/>
      <c r="AH51" s="473"/>
      <c r="AI51" s="473"/>
      <c r="AJ51" s="473"/>
      <c r="AK51" s="473"/>
      <c r="AL51" s="473"/>
      <c r="AM51" s="404"/>
      <c r="AN51" s="238"/>
      <c r="AO51" s="238"/>
      <c r="AP51" s="238"/>
      <c r="AQ51" s="238"/>
      <c r="AR51" s="238"/>
      <c r="AS51" s="238"/>
      <c r="AT51" s="238"/>
      <c r="AU51" s="238"/>
      <c r="AV51" s="238"/>
      <c r="AW51" s="423"/>
      <c r="AX51" s="238"/>
      <c r="AY51" s="238"/>
      <c r="AZ51" s="238"/>
      <c r="BA51" s="238"/>
      <c r="BB51" s="238"/>
      <c r="BC51" s="238"/>
      <c r="BD51" s="238"/>
      <c r="BE51" s="238"/>
      <c r="BF51" s="399"/>
      <c r="BG51" s="238"/>
      <c r="BH51" s="238"/>
      <c r="BI51" s="238"/>
      <c r="BJ51" s="238"/>
      <c r="BK51" s="238"/>
      <c r="BL51" s="238"/>
      <c r="BM51" s="238"/>
      <c r="BN51" s="238"/>
      <c r="BO51" s="238"/>
      <c r="BP51" s="399"/>
      <c r="BQ51" s="401"/>
      <c r="BR51" s="238"/>
      <c r="BS51" s="238"/>
      <c r="BT51" s="238"/>
      <c r="BU51" s="238"/>
      <c r="BV51" s="238"/>
      <c r="BW51" s="441"/>
      <c r="BX51" s="441"/>
      <c r="BY51" s="441"/>
      <c r="BZ51" s="400"/>
      <c r="CA51" s="404"/>
      <c r="CB51" s="238"/>
      <c r="CC51" s="238"/>
      <c r="CD51" s="238"/>
      <c r="CE51" s="238"/>
      <c r="CF51" s="238"/>
      <c r="CG51" s="238"/>
      <c r="CH51" s="238"/>
      <c r="CI51" s="238"/>
      <c r="CJ51" s="238"/>
      <c r="CK51" s="238"/>
      <c r="CL51" s="238"/>
      <c r="CM51" s="238"/>
      <c r="CN51" s="238"/>
      <c r="CO51" s="238"/>
      <c r="CP51" s="238"/>
      <c r="CQ51" s="238"/>
      <c r="CR51" s="238"/>
      <c r="CS51" s="238"/>
      <c r="CT51" s="238"/>
    </row>
    <row r="52" spans="1:98">
      <c r="A52" s="246">
        <v>6</v>
      </c>
      <c r="B52" s="246" t="s">
        <v>1232</v>
      </c>
      <c r="C52" s="246" t="s">
        <v>1363</v>
      </c>
      <c r="D52" s="246" t="s">
        <v>1280</v>
      </c>
      <c r="E52" s="246"/>
      <c r="F52" s="268"/>
      <c r="G52" s="268">
        <v>1</v>
      </c>
      <c r="H52" s="246"/>
      <c r="I52" s="473"/>
      <c r="J52" s="473"/>
      <c r="K52" s="473"/>
      <c r="L52" s="473"/>
      <c r="M52" s="473"/>
      <c r="N52" s="473"/>
      <c r="O52" s="473"/>
      <c r="P52" s="473"/>
      <c r="Q52" s="473"/>
      <c r="R52" s="473"/>
      <c r="S52" s="473"/>
      <c r="T52" s="473"/>
      <c r="U52" s="473"/>
      <c r="V52" s="473"/>
      <c r="W52" s="473"/>
      <c r="X52" s="473"/>
      <c r="Y52" s="473"/>
      <c r="Z52" s="473"/>
      <c r="AA52" s="473"/>
      <c r="AB52" s="473"/>
      <c r="AC52" s="473"/>
      <c r="AD52" s="473"/>
      <c r="AE52" s="473"/>
      <c r="AF52" s="473"/>
      <c r="AG52" s="473"/>
      <c r="AH52" s="473"/>
      <c r="AI52" s="473"/>
      <c r="AJ52" s="473"/>
      <c r="AK52" s="473"/>
      <c r="AL52" s="473"/>
      <c r="AM52" s="404"/>
      <c r="AN52" s="238"/>
      <c r="AO52" s="238"/>
      <c r="AP52" s="238"/>
      <c r="AQ52" s="238"/>
      <c r="AR52" s="238"/>
      <c r="AS52" s="238"/>
      <c r="AT52" s="238"/>
      <c r="AU52" s="238"/>
      <c r="AV52" s="238"/>
      <c r="AW52" s="423"/>
      <c r="AX52" s="238"/>
      <c r="AY52" s="238"/>
      <c r="AZ52" s="238"/>
      <c r="BA52" s="238"/>
      <c r="BB52" s="238"/>
      <c r="BC52" s="238"/>
      <c r="BD52" s="238"/>
      <c r="BE52" s="238"/>
      <c r="BF52" s="399"/>
      <c r="BG52" s="238"/>
      <c r="BH52" s="238"/>
      <c r="BI52" s="238"/>
      <c r="BJ52" s="238"/>
      <c r="BK52" s="238"/>
      <c r="BL52" s="238"/>
      <c r="BM52" s="238"/>
      <c r="BN52" s="238"/>
      <c r="BO52" s="238"/>
      <c r="BP52" s="399"/>
      <c r="BQ52" s="402"/>
      <c r="BR52" s="403"/>
      <c r="BS52" s="403"/>
      <c r="BT52" s="403"/>
      <c r="BU52" s="403"/>
      <c r="BV52" s="403"/>
      <c r="BW52" s="403"/>
      <c r="BX52" s="403"/>
      <c r="BY52" s="403"/>
      <c r="BZ52" s="449"/>
      <c r="CA52" s="408"/>
      <c r="CB52" s="409"/>
      <c r="CC52" s="409"/>
      <c r="CD52" s="409"/>
      <c r="CE52" s="409"/>
      <c r="CF52" s="409"/>
      <c r="CG52" s="409"/>
      <c r="CH52" s="409"/>
      <c r="CI52" s="409"/>
      <c r="CJ52" s="409"/>
      <c r="CK52" s="238"/>
      <c r="CL52" s="238"/>
      <c r="CM52" s="238"/>
      <c r="CN52" s="238"/>
      <c r="CO52" s="238"/>
      <c r="CP52" s="238"/>
      <c r="CQ52" s="238"/>
      <c r="CR52" s="238"/>
      <c r="CS52" s="238"/>
      <c r="CT52" s="238"/>
    </row>
    <row r="53" spans="1:98">
      <c r="A53" s="450">
        <v>7</v>
      </c>
      <c r="B53" s="450" t="s">
        <v>1278</v>
      </c>
      <c r="C53" s="450" t="s">
        <v>1364</v>
      </c>
      <c r="D53" s="451" t="s">
        <v>1280</v>
      </c>
      <c r="E53" s="451" t="s">
        <v>1281</v>
      </c>
      <c r="F53" s="450"/>
      <c r="G53" s="450"/>
      <c r="H53" s="451"/>
      <c r="I53" s="482"/>
      <c r="J53" s="482"/>
      <c r="K53" s="482"/>
      <c r="L53" s="482"/>
      <c r="M53" s="482"/>
      <c r="N53" s="482"/>
      <c r="O53" s="482"/>
      <c r="P53" s="482"/>
      <c r="Q53" s="482"/>
      <c r="R53" s="482"/>
      <c r="S53" s="482"/>
      <c r="T53" s="482"/>
      <c r="U53" s="482"/>
      <c r="V53" s="482"/>
      <c r="W53" s="482"/>
      <c r="X53" s="482"/>
      <c r="Y53" s="482"/>
      <c r="Z53" s="482"/>
      <c r="AA53" s="482"/>
      <c r="AB53" s="482"/>
      <c r="AC53" s="482"/>
      <c r="AD53" s="482"/>
      <c r="AE53" s="482"/>
      <c r="AF53" s="482"/>
      <c r="AG53" s="482"/>
      <c r="AH53" s="482"/>
      <c r="AI53" s="482"/>
      <c r="AJ53" s="482"/>
      <c r="AK53" s="482"/>
      <c r="AL53" s="482"/>
      <c r="AM53" s="457"/>
      <c r="AN53" s="452"/>
      <c r="AO53" s="452"/>
      <c r="AP53" s="452"/>
      <c r="AQ53" s="452"/>
      <c r="AR53" s="452"/>
      <c r="AS53" s="452"/>
      <c r="AT53" s="452"/>
      <c r="AU53" s="592"/>
      <c r="AV53" s="592"/>
      <c r="AW53" s="453"/>
      <c r="AX53" s="454"/>
      <c r="AY53" s="454"/>
      <c r="AZ53" s="454"/>
      <c r="BA53" s="454"/>
      <c r="BB53" s="454"/>
      <c r="BC53" s="455"/>
      <c r="BD53" s="455"/>
      <c r="BE53" s="593"/>
      <c r="BF53" s="594"/>
      <c r="BG53" s="452"/>
      <c r="BH53" s="452"/>
      <c r="BI53" s="452"/>
      <c r="BJ53" s="452"/>
      <c r="BK53" s="452"/>
      <c r="BL53" s="452"/>
      <c r="BM53" s="452"/>
      <c r="BN53" s="452"/>
      <c r="BO53" s="592"/>
      <c r="BP53" s="592"/>
      <c r="BQ53" s="456"/>
      <c r="BR53" s="456"/>
      <c r="BS53" s="456"/>
      <c r="BT53" s="456"/>
      <c r="BU53" s="456"/>
      <c r="BV53" s="456"/>
      <c r="BW53" s="456"/>
      <c r="BX53" s="456"/>
      <c r="BY53" s="595"/>
      <c r="BZ53" s="596"/>
      <c r="CA53" s="554" t="s">
        <v>1365</v>
      </c>
      <c r="CB53" s="555"/>
      <c r="CC53" s="555"/>
      <c r="CD53" s="555"/>
      <c r="CE53" s="555"/>
      <c r="CF53" s="555"/>
      <c r="CG53" s="555"/>
      <c r="CH53" s="555"/>
      <c r="CI53" s="555"/>
      <c r="CJ53" s="556"/>
      <c r="CK53" s="457"/>
      <c r="CL53" s="452"/>
      <c r="CM53" s="452"/>
      <c r="CN53" s="452"/>
      <c r="CO53" s="452"/>
      <c r="CP53" s="452"/>
      <c r="CQ53" s="452"/>
      <c r="CR53" s="452"/>
      <c r="CS53" s="592"/>
      <c r="CT53" s="592"/>
    </row>
    <row r="54" spans="1:98">
      <c r="A54" s="246">
        <v>7</v>
      </c>
      <c r="B54" s="246" t="s">
        <v>1232</v>
      </c>
      <c r="C54" s="246" t="s">
        <v>1366</v>
      </c>
      <c r="D54" s="246" t="s">
        <v>1280</v>
      </c>
      <c r="E54" s="246"/>
      <c r="F54" s="268"/>
      <c r="G54" s="268">
        <v>4</v>
      </c>
      <c r="H54" s="246"/>
      <c r="I54" s="473"/>
      <c r="J54" s="473"/>
      <c r="K54" s="473"/>
      <c r="L54" s="473"/>
      <c r="M54" s="473"/>
      <c r="N54" s="473"/>
      <c r="O54" s="473"/>
      <c r="P54" s="473"/>
      <c r="Q54" s="473"/>
      <c r="R54" s="473"/>
      <c r="S54" s="473"/>
      <c r="T54" s="473"/>
      <c r="U54" s="473"/>
      <c r="V54" s="473"/>
      <c r="W54" s="473"/>
      <c r="X54" s="473"/>
      <c r="Y54" s="473"/>
      <c r="Z54" s="473"/>
      <c r="AA54" s="473"/>
      <c r="AB54" s="473"/>
      <c r="AC54" s="473"/>
      <c r="AD54" s="473"/>
      <c r="AE54" s="473"/>
      <c r="AF54" s="473"/>
      <c r="AG54" s="473"/>
      <c r="AH54" s="473"/>
      <c r="AI54" s="473"/>
      <c r="AJ54" s="473"/>
      <c r="AK54" s="473"/>
      <c r="AL54" s="473"/>
      <c r="AM54" s="404"/>
      <c r="AN54" s="238"/>
      <c r="AO54" s="238"/>
      <c r="AP54" s="238"/>
      <c r="AQ54" s="238"/>
      <c r="AR54" s="238"/>
      <c r="AS54" s="238"/>
      <c r="AT54" s="238"/>
      <c r="AU54" s="238"/>
      <c r="AV54" s="238"/>
      <c r="AW54" s="327"/>
      <c r="AX54" s="277"/>
      <c r="AY54" s="277"/>
      <c r="AZ54" s="277"/>
      <c r="BA54" s="277"/>
      <c r="BB54" s="351"/>
      <c r="BC54" s="238"/>
      <c r="BD54" s="238"/>
      <c r="BE54" s="238"/>
      <c r="BF54" s="399"/>
      <c r="BG54" s="238"/>
      <c r="BH54" s="238"/>
      <c r="BI54" s="238"/>
      <c r="BJ54" s="238"/>
      <c r="BK54" s="238"/>
      <c r="BL54" s="238"/>
      <c r="BM54" s="238"/>
      <c r="BN54" s="238"/>
      <c r="BO54" s="238"/>
      <c r="BP54" s="238"/>
      <c r="BQ54" s="238"/>
      <c r="BR54" s="238"/>
      <c r="BS54" s="238"/>
      <c r="BT54" s="238"/>
      <c r="BU54" s="238"/>
      <c r="BV54" s="238"/>
      <c r="BW54" s="238"/>
      <c r="BX54" s="238"/>
      <c r="BY54" s="238"/>
      <c r="BZ54" s="399"/>
      <c r="CA54" s="458"/>
      <c r="CB54" s="452"/>
      <c r="CC54" s="452"/>
      <c r="CD54" s="452"/>
      <c r="CE54" s="238"/>
      <c r="CF54" s="238"/>
      <c r="CG54" s="238"/>
      <c r="CH54" s="238"/>
      <c r="CI54" s="238"/>
      <c r="CJ54" s="400"/>
      <c r="CK54" s="404"/>
      <c r="CL54" s="238"/>
      <c r="CM54" s="238"/>
      <c r="CN54" s="238"/>
      <c r="CO54" s="238"/>
      <c r="CP54" s="238"/>
      <c r="CQ54" s="238"/>
      <c r="CR54" s="238"/>
      <c r="CS54" s="238"/>
      <c r="CT54" s="238"/>
    </row>
    <row r="55" spans="1:98">
      <c r="A55" s="246">
        <v>7</v>
      </c>
      <c r="B55" s="246" t="s">
        <v>1232</v>
      </c>
      <c r="C55" s="246" t="s">
        <v>1367</v>
      </c>
      <c r="D55" s="246" t="s">
        <v>1280</v>
      </c>
      <c r="E55" s="246"/>
      <c r="F55" s="268"/>
      <c r="G55" s="268">
        <v>2</v>
      </c>
      <c r="H55" s="246"/>
      <c r="I55" s="473"/>
      <c r="J55" s="473"/>
      <c r="K55" s="473"/>
      <c r="L55" s="473"/>
      <c r="M55" s="473"/>
      <c r="N55" s="473"/>
      <c r="O55" s="473"/>
      <c r="P55" s="473"/>
      <c r="Q55" s="473"/>
      <c r="R55" s="473"/>
      <c r="S55" s="473"/>
      <c r="T55" s="473"/>
      <c r="U55" s="473"/>
      <c r="V55" s="473"/>
      <c r="W55" s="473"/>
      <c r="X55" s="473"/>
      <c r="Y55" s="473"/>
      <c r="Z55" s="473"/>
      <c r="AA55" s="473"/>
      <c r="AB55" s="473"/>
      <c r="AC55" s="473"/>
      <c r="AD55" s="473"/>
      <c r="AE55" s="473"/>
      <c r="AF55" s="473"/>
      <c r="AG55" s="473"/>
      <c r="AH55" s="473"/>
      <c r="AI55" s="473"/>
      <c r="AJ55" s="473"/>
      <c r="AK55" s="473"/>
      <c r="AL55" s="473"/>
      <c r="AM55" s="404"/>
      <c r="AN55" s="238"/>
      <c r="AO55" s="238"/>
      <c r="AP55" s="238"/>
      <c r="AQ55" s="238"/>
      <c r="AR55" s="238"/>
      <c r="AS55" s="238"/>
      <c r="AT55" s="238"/>
      <c r="AU55" s="238"/>
      <c r="AV55" s="238"/>
      <c r="AW55" s="327"/>
      <c r="AX55" s="277"/>
      <c r="AY55" s="277"/>
      <c r="AZ55" s="277"/>
      <c r="BA55" s="277"/>
      <c r="BB55" s="351"/>
      <c r="BC55" s="238"/>
      <c r="BD55" s="238"/>
      <c r="BE55" s="238"/>
      <c r="BF55" s="399"/>
      <c r="BG55" s="238"/>
      <c r="BH55" s="238"/>
      <c r="BI55" s="238"/>
      <c r="BJ55" s="238"/>
      <c r="BK55" s="238"/>
      <c r="BL55" s="238"/>
      <c r="BM55" s="238"/>
      <c r="BN55" s="238"/>
      <c r="BO55" s="238"/>
      <c r="BP55" s="238"/>
      <c r="BQ55" s="238"/>
      <c r="BR55" s="238"/>
      <c r="BS55" s="238"/>
      <c r="BT55" s="238"/>
      <c r="BU55" s="238"/>
      <c r="BV55" s="238"/>
      <c r="BW55" s="238"/>
      <c r="BX55" s="238"/>
      <c r="BY55" s="238"/>
      <c r="BZ55" s="399"/>
      <c r="CA55" s="401"/>
      <c r="CB55" s="238"/>
      <c r="CC55" s="238"/>
      <c r="CD55" s="238"/>
      <c r="CE55" s="452"/>
      <c r="CF55" s="452"/>
      <c r="CG55" s="238"/>
      <c r="CH55" s="238"/>
      <c r="CI55" s="238"/>
      <c r="CJ55" s="400"/>
      <c r="CK55" s="404"/>
      <c r="CL55" s="238"/>
      <c r="CM55" s="238"/>
      <c r="CN55" s="238"/>
      <c r="CO55" s="238"/>
      <c r="CP55" s="238"/>
      <c r="CQ55" s="238"/>
      <c r="CR55" s="238"/>
      <c r="CS55" s="238"/>
      <c r="CT55" s="238"/>
    </row>
    <row r="56" spans="1:98">
      <c r="A56" s="246">
        <v>7</v>
      </c>
      <c r="B56" s="246" t="s">
        <v>1232</v>
      </c>
      <c r="C56" s="246" t="s">
        <v>1330</v>
      </c>
      <c r="D56" s="246" t="s">
        <v>1280</v>
      </c>
      <c r="E56" s="246"/>
      <c r="F56" s="268"/>
      <c r="G56" s="268">
        <v>4</v>
      </c>
      <c r="H56" s="246"/>
      <c r="I56" s="473"/>
      <c r="J56" s="473"/>
      <c r="K56" s="473"/>
      <c r="L56" s="473"/>
      <c r="M56" s="473"/>
      <c r="N56" s="473"/>
      <c r="O56" s="473"/>
      <c r="P56" s="473"/>
      <c r="Q56" s="473"/>
      <c r="R56" s="473"/>
      <c r="S56" s="473"/>
      <c r="T56" s="473"/>
      <c r="U56" s="473"/>
      <c r="V56" s="473"/>
      <c r="W56" s="473"/>
      <c r="X56" s="473"/>
      <c r="Y56" s="473"/>
      <c r="Z56" s="473"/>
      <c r="AA56" s="473"/>
      <c r="AB56" s="473"/>
      <c r="AC56" s="473"/>
      <c r="AD56" s="473"/>
      <c r="AE56" s="473"/>
      <c r="AF56" s="473"/>
      <c r="AG56" s="473"/>
      <c r="AH56" s="473"/>
      <c r="AI56" s="473"/>
      <c r="AJ56" s="473"/>
      <c r="AK56" s="473"/>
      <c r="AL56" s="473"/>
      <c r="AM56" s="404"/>
      <c r="AN56" s="238"/>
      <c r="AO56" s="238"/>
      <c r="AP56" s="238"/>
      <c r="AQ56" s="238"/>
      <c r="AR56" s="238"/>
      <c r="AS56" s="238"/>
      <c r="AT56" s="238"/>
      <c r="AU56" s="238"/>
      <c r="AV56" s="238"/>
      <c r="AW56" s="327"/>
      <c r="AX56" s="277"/>
      <c r="AY56" s="277"/>
      <c r="AZ56" s="277"/>
      <c r="BA56" s="277"/>
      <c r="BB56" s="351"/>
      <c r="BC56" s="238"/>
      <c r="BD56" s="238"/>
      <c r="BE56" s="238"/>
      <c r="BF56" s="399"/>
      <c r="BG56" s="238"/>
      <c r="BH56" s="238"/>
      <c r="BI56" s="238"/>
      <c r="BJ56" s="238"/>
      <c r="BK56" s="238"/>
      <c r="BL56" s="238"/>
      <c r="BM56" s="238"/>
      <c r="BN56" s="238"/>
      <c r="BO56" s="238"/>
      <c r="BP56" s="238"/>
      <c r="BQ56" s="238"/>
      <c r="BR56" s="238"/>
      <c r="BS56" s="238"/>
      <c r="BT56" s="238"/>
      <c r="BU56" s="238"/>
      <c r="BV56" s="238"/>
      <c r="BW56" s="238"/>
      <c r="BX56" s="238"/>
      <c r="BY56" s="238"/>
      <c r="BZ56" s="399"/>
      <c r="CA56" s="401"/>
      <c r="CB56" s="238"/>
      <c r="CC56" s="238"/>
      <c r="CD56" s="238"/>
      <c r="CE56" s="238"/>
      <c r="CF56" s="452"/>
      <c r="CG56" s="452"/>
      <c r="CH56" s="452"/>
      <c r="CI56" s="452"/>
      <c r="CJ56" s="400"/>
      <c r="CK56" s="404"/>
      <c r="CL56" s="238"/>
      <c r="CM56" s="238"/>
      <c r="CN56" s="238"/>
      <c r="CO56" s="238"/>
      <c r="CP56" s="238"/>
      <c r="CQ56" s="238"/>
      <c r="CR56" s="238"/>
      <c r="CS56" s="238"/>
      <c r="CT56" s="238"/>
    </row>
    <row r="57" spans="1:98">
      <c r="A57" s="246">
        <v>7</v>
      </c>
      <c r="B57" s="246" t="s">
        <v>1232</v>
      </c>
      <c r="C57" s="246" t="s">
        <v>1368</v>
      </c>
      <c r="D57" s="246" t="s">
        <v>1280</v>
      </c>
      <c r="E57" s="246"/>
      <c r="F57" s="268"/>
      <c r="G57" s="268">
        <v>1</v>
      </c>
      <c r="H57" s="246"/>
      <c r="I57" s="473"/>
      <c r="J57" s="473"/>
      <c r="K57" s="473"/>
      <c r="L57" s="473"/>
      <c r="M57" s="473"/>
      <c r="N57" s="473"/>
      <c r="O57" s="473"/>
      <c r="P57" s="473"/>
      <c r="Q57" s="473"/>
      <c r="R57" s="473"/>
      <c r="S57" s="473"/>
      <c r="T57" s="473"/>
      <c r="U57" s="473"/>
      <c r="V57" s="473"/>
      <c r="W57" s="473"/>
      <c r="X57" s="473"/>
      <c r="Y57" s="473"/>
      <c r="Z57" s="473"/>
      <c r="AA57" s="473"/>
      <c r="AB57" s="473"/>
      <c r="AC57" s="473"/>
      <c r="AD57" s="473"/>
      <c r="AE57" s="473"/>
      <c r="AF57" s="473"/>
      <c r="AG57" s="473"/>
      <c r="AH57" s="473"/>
      <c r="AI57" s="473"/>
      <c r="AJ57" s="473"/>
      <c r="AK57" s="473"/>
      <c r="AL57" s="473"/>
      <c r="AM57" s="404"/>
      <c r="AN57" s="238"/>
      <c r="AO57" s="238"/>
      <c r="AP57" s="238"/>
      <c r="AQ57" s="238"/>
      <c r="AR57" s="238"/>
      <c r="AS57" s="238"/>
      <c r="AT57" s="238"/>
      <c r="AU57" s="238"/>
      <c r="AV57" s="238"/>
      <c r="AW57" s="327"/>
      <c r="AX57" s="277"/>
      <c r="AY57" s="277"/>
      <c r="AZ57" s="277"/>
      <c r="BA57" s="277"/>
      <c r="BB57" s="351"/>
      <c r="BC57" s="238"/>
      <c r="BD57" s="238"/>
      <c r="BE57" s="238"/>
      <c r="BF57" s="399"/>
      <c r="BG57" s="238"/>
      <c r="BH57" s="238"/>
      <c r="BI57" s="238"/>
      <c r="BJ57" s="238"/>
      <c r="BK57" s="238"/>
      <c r="BL57" s="238"/>
      <c r="BM57" s="238"/>
      <c r="BN57" s="238"/>
      <c r="BO57" s="238"/>
      <c r="BP57" s="238"/>
      <c r="BQ57" s="238"/>
      <c r="BR57" s="238"/>
      <c r="BS57" s="238"/>
      <c r="BT57" s="238"/>
      <c r="BU57" s="238"/>
      <c r="BV57" s="238"/>
      <c r="BW57" s="238"/>
      <c r="BX57" s="238"/>
      <c r="BY57" s="238"/>
      <c r="BZ57" s="399"/>
      <c r="CA57" s="402"/>
      <c r="CB57" s="403"/>
      <c r="CC57" s="403"/>
      <c r="CD57" s="403"/>
      <c r="CE57" s="403"/>
      <c r="CF57" s="403"/>
      <c r="CG57" s="403"/>
      <c r="CH57" s="403"/>
      <c r="CI57" s="403"/>
      <c r="CJ57" s="459"/>
      <c r="CK57" s="408"/>
      <c r="CL57" s="409"/>
      <c r="CM57" s="409"/>
      <c r="CN57" s="409"/>
      <c r="CO57" s="409"/>
      <c r="CP57" s="409"/>
      <c r="CQ57" s="409"/>
      <c r="CR57" s="409"/>
      <c r="CS57" s="409"/>
      <c r="CT57" s="409"/>
    </row>
    <row r="58" spans="1:98" ht="14.45" customHeight="1">
      <c r="A58" s="460">
        <v>8</v>
      </c>
      <c r="B58" s="460" t="s">
        <v>1278</v>
      </c>
      <c r="C58" s="460" t="s">
        <v>1321</v>
      </c>
      <c r="D58" s="461" t="s">
        <v>1280</v>
      </c>
      <c r="E58" s="461" t="s">
        <v>1281</v>
      </c>
      <c r="F58" s="460"/>
      <c r="G58" s="460"/>
      <c r="H58" s="461"/>
      <c r="I58" s="483"/>
      <c r="J58" s="483"/>
      <c r="K58" s="483"/>
      <c r="L58" s="483"/>
      <c r="M58" s="483"/>
      <c r="N58" s="483"/>
      <c r="O58" s="483"/>
      <c r="P58" s="483"/>
      <c r="Q58" s="483"/>
      <c r="R58" s="483"/>
      <c r="S58" s="483"/>
      <c r="T58" s="483"/>
      <c r="U58" s="483"/>
      <c r="V58" s="483"/>
      <c r="W58" s="483"/>
      <c r="X58" s="483"/>
      <c r="Y58" s="483"/>
      <c r="Z58" s="483"/>
      <c r="AA58" s="483"/>
      <c r="AB58" s="483"/>
      <c r="AC58" s="483"/>
      <c r="AD58" s="483"/>
      <c r="AE58" s="483"/>
      <c r="AF58" s="483"/>
      <c r="AG58" s="483"/>
      <c r="AH58" s="483"/>
      <c r="AI58" s="483"/>
      <c r="AJ58" s="483"/>
      <c r="AK58" s="483"/>
      <c r="AL58" s="483"/>
      <c r="AM58" s="490"/>
      <c r="AN58" s="462"/>
      <c r="AO58" s="462"/>
      <c r="AP58" s="462"/>
      <c r="AQ58" s="462"/>
      <c r="AR58" s="462"/>
      <c r="AS58" s="462"/>
      <c r="AT58" s="462"/>
      <c r="AU58" s="462"/>
      <c r="AV58" s="462"/>
      <c r="AW58" s="463"/>
      <c r="AX58" s="464"/>
      <c r="AY58" s="464"/>
      <c r="AZ58" s="464"/>
      <c r="BA58" s="464"/>
      <c r="BB58" s="464"/>
      <c r="BC58" s="465"/>
      <c r="BD58" s="465"/>
      <c r="BE58" s="465"/>
      <c r="BF58" s="466"/>
      <c r="BG58" s="462"/>
      <c r="BH58" s="462"/>
      <c r="BI58" s="462"/>
      <c r="BJ58" s="462"/>
      <c r="BK58" s="462"/>
      <c r="BL58" s="462"/>
      <c r="BM58" s="462"/>
      <c r="BN58" s="462"/>
      <c r="BO58" s="462"/>
      <c r="BP58" s="462"/>
      <c r="BQ58" s="462"/>
      <c r="BR58" s="462"/>
      <c r="BS58" s="462"/>
      <c r="BT58" s="462"/>
      <c r="BU58" s="462"/>
      <c r="BV58" s="462"/>
      <c r="BW58" s="462"/>
      <c r="BX58" s="462"/>
      <c r="BY58" s="462"/>
      <c r="BZ58" s="462"/>
      <c r="CA58" s="467"/>
      <c r="CB58" s="467"/>
      <c r="CC58" s="467"/>
      <c r="CD58" s="467"/>
      <c r="CE58" s="467"/>
      <c r="CF58" s="467"/>
      <c r="CG58" s="467"/>
      <c r="CH58" s="467"/>
      <c r="CI58" s="467"/>
      <c r="CJ58" s="468"/>
      <c r="CK58" s="548" t="s">
        <v>1322</v>
      </c>
      <c r="CL58" s="549"/>
      <c r="CM58" s="549"/>
      <c r="CN58" s="549"/>
      <c r="CO58" s="549"/>
      <c r="CP58" s="549"/>
      <c r="CQ58" s="549"/>
      <c r="CR58" s="549"/>
      <c r="CS58" s="549"/>
      <c r="CT58" s="550"/>
    </row>
    <row r="59" spans="1:98">
      <c r="A59" s="246">
        <v>8</v>
      </c>
      <c r="B59" s="246" t="s">
        <v>1232</v>
      </c>
      <c r="C59" s="246" t="s">
        <v>1323</v>
      </c>
      <c r="D59" s="246" t="s">
        <v>1280</v>
      </c>
      <c r="E59" s="246"/>
      <c r="F59" s="268"/>
      <c r="G59" s="268">
        <v>2</v>
      </c>
      <c r="H59" s="246"/>
      <c r="I59" s="473"/>
      <c r="J59" s="473"/>
      <c r="K59" s="473"/>
      <c r="L59" s="473"/>
      <c r="M59" s="473"/>
      <c r="N59" s="473"/>
      <c r="O59" s="473"/>
      <c r="P59" s="473"/>
      <c r="Q59" s="473"/>
      <c r="R59" s="473"/>
      <c r="S59" s="473"/>
      <c r="T59" s="473"/>
      <c r="U59" s="473"/>
      <c r="V59" s="473"/>
      <c r="W59" s="473"/>
      <c r="X59" s="473"/>
      <c r="Y59" s="473"/>
      <c r="Z59" s="473"/>
      <c r="AA59" s="473"/>
      <c r="AB59" s="473"/>
      <c r="AC59" s="473"/>
      <c r="AD59" s="473"/>
      <c r="AE59" s="473"/>
      <c r="AF59" s="473"/>
      <c r="AG59" s="473"/>
      <c r="AH59" s="473"/>
      <c r="AI59" s="473"/>
      <c r="AJ59" s="473"/>
      <c r="AK59" s="473"/>
      <c r="AL59" s="473"/>
      <c r="AM59" s="404"/>
      <c r="AN59" s="238"/>
      <c r="AO59" s="238"/>
      <c r="AP59" s="238"/>
      <c r="AQ59" s="238"/>
      <c r="AR59" s="238"/>
      <c r="AS59" s="238"/>
      <c r="AT59" s="238"/>
      <c r="AU59" s="238"/>
      <c r="AV59" s="238"/>
      <c r="AW59" s="327"/>
      <c r="AX59" s="277"/>
      <c r="AY59" s="277"/>
      <c r="AZ59" s="277"/>
      <c r="BA59" s="277"/>
      <c r="BB59" s="277"/>
      <c r="BC59" s="277"/>
      <c r="BD59" s="277"/>
      <c r="BE59" s="277"/>
      <c r="BF59" s="351"/>
      <c r="BG59" s="238"/>
      <c r="BH59" s="238"/>
      <c r="BI59" s="238"/>
      <c r="BJ59" s="238"/>
      <c r="BK59" s="238"/>
      <c r="BL59" s="238"/>
      <c r="BM59" s="238"/>
      <c r="BN59" s="238"/>
      <c r="BO59" s="238"/>
      <c r="BP59" s="238"/>
      <c r="BQ59" s="238"/>
      <c r="BR59" s="238"/>
      <c r="BS59" s="238"/>
      <c r="BT59" s="238"/>
      <c r="BU59" s="238"/>
      <c r="BV59" s="238"/>
      <c r="BW59" s="238"/>
      <c r="BX59" s="238"/>
      <c r="BY59" s="238"/>
      <c r="BZ59" s="238"/>
      <c r="CA59" s="238"/>
      <c r="CB59" s="238"/>
      <c r="CC59" s="238"/>
      <c r="CD59" s="238"/>
      <c r="CE59" s="238"/>
      <c r="CF59" s="238"/>
      <c r="CG59" s="238"/>
      <c r="CH59" s="238"/>
      <c r="CI59" s="238"/>
      <c r="CJ59" s="399"/>
      <c r="CK59" s="469"/>
      <c r="CL59" s="462"/>
      <c r="CM59" s="238"/>
      <c r="CN59" s="238"/>
      <c r="CO59" s="238"/>
      <c r="CP59" s="238"/>
      <c r="CQ59" s="238"/>
      <c r="CR59" s="238"/>
      <c r="CS59" s="238"/>
      <c r="CT59" s="400"/>
    </row>
    <row r="60" spans="1:98">
      <c r="A60" s="246">
        <v>8</v>
      </c>
      <c r="B60" s="246" t="s">
        <v>1232</v>
      </c>
      <c r="C60" s="246" t="s">
        <v>1324</v>
      </c>
      <c r="D60" s="246" t="s">
        <v>1280</v>
      </c>
      <c r="E60" s="246"/>
      <c r="F60" s="268"/>
      <c r="G60" s="268">
        <v>4</v>
      </c>
      <c r="H60" s="246"/>
      <c r="I60" s="473"/>
      <c r="J60" s="473"/>
      <c r="K60" s="473"/>
      <c r="L60" s="473"/>
      <c r="M60" s="473"/>
      <c r="N60" s="473"/>
      <c r="O60" s="473"/>
      <c r="P60" s="473"/>
      <c r="Q60" s="473"/>
      <c r="R60" s="473"/>
      <c r="S60" s="473"/>
      <c r="T60" s="473"/>
      <c r="U60" s="473"/>
      <c r="V60" s="473"/>
      <c r="W60" s="473"/>
      <c r="X60" s="473"/>
      <c r="Y60" s="473"/>
      <c r="Z60" s="473"/>
      <c r="AA60" s="473"/>
      <c r="AB60" s="473"/>
      <c r="AC60" s="473"/>
      <c r="AD60" s="473"/>
      <c r="AE60" s="473"/>
      <c r="AF60" s="473"/>
      <c r="AG60" s="473"/>
      <c r="AH60" s="473"/>
      <c r="AI60" s="473"/>
      <c r="AJ60" s="473"/>
      <c r="AK60" s="473"/>
      <c r="AL60" s="473"/>
      <c r="AM60" s="404"/>
      <c r="AN60" s="238"/>
      <c r="AO60" s="238"/>
      <c r="AP60" s="238"/>
      <c r="AQ60" s="238"/>
      <c r="AR60" s="238"/>
      <c r="AS60" s="238"/>
      <c r="AT60" s="238"/>
      <c r="AU60" s="238"/>
      <c r="AV60" s="238"/>
      <c r="AW60" s="327"/>
      <c r="AX60" s="277"/>
      <c r="AY60" s="277"/>
      <c r="AZ60" s="277"/>
      <c r="BA60" s="277"/>
      <c r="BB60" s="277"/>
      <c r="BC60" s="277"/>
      <c r="BD60" s="277"/>
      <c r="BE60" s="277"/>
      <c r="BF60" s="351"/>
      <c r="BG60" s="238"/>
      <c r="BH60" s="238"/>
      <c r="BI60" s="238"/>
      <c r="BJ60" s="238"/>
      <c r="BK60" s="238"/>
      <c r="BL60" s="238"/>
      <c r="BM60" s="238"/>
      <c r="BN60" s="238"/>
      <c r="BO60" s="238"/>
      <c r="BP60" s="238"/>
      <c r="BQ60" s="238"/>
      <c r="BR60" s="238"/>
      <c r="BS60" s="238"/>
      <c r="BT60" s="238"/>
      <c r="BU60" s="238"/>
      <c r="BV60" s="238"/>
      <c r="BW60" s="238"/>
      <c r="BX60" s="238"/>
      <c r="BY60" s="238"/>
      <c r="BZ60" s="238"/>
      <c r="CA60" s="238"/>
      <c r="CB60" s="238"/>
      <c r="CC60" s="238"/>
      <c r="CD60" s="238"/>
      <c r="CE60" s="238"/>
      <c r="CF60" s="238"/>
      <c r="CG60" s="238"/>
      <c r="CH60" s="238"/>
      <c r="CI60" s="238"/>
      <c r="CJ60" s="399"/>
      <c r="CK60" s="401"/>
      <c r="CL60" s="238"/>
      <c r="CM60" s="462"/>
      <c r="CN60" s="462"/>
      <c r="CO60" s="462"/>
      <c r="CP60" s="462"/>
      <c r="CQ60" s="238"/>
      <c r="CR60" s="238"/>
      <c r="CS60" s="238"/>
      <c r="CT60" s="400"/>
    </row>
    <row r="61" spans="1:98">
      <c r="A61" s="246">
        <v>8</v>
      </c>
      <c r="B61" s="246" t="s">
        <v>1232</v>
      </c>
      <c r="C61" s="246" t="s">
        <v>1325</v>
      </c>
      <c r="D61" s="246" t="s">
        <v>1280</v>
      </c>
      <c r="E61" s="246"/>
      <c r="F61" s="268"/>
      <c r="G61" s="268">
        <v>3</v>
      </c>
      <c r="H61" s="246"/>
      <c r="I61" s="473"/>
      <c r="J61" s="473"/>
      <c r="K61" s="473"/>
      <c r="L61" s="473"/>
      <c r="M61" s="473"/>
      <c r="N61" s="473"/>
      <c r="O61" s="473"/>
      <c r="P61" s="473"/>
      <c r="Q61" s="473"/>
      <c r="R61" s="473"/>
      <c r="S61" s="473"/>
      <c r="T61" s="473"/>
      <c r="U61" s="473"/>
      <c r="V61" s="473"/>
      <c r="W61" s="473"/>
      <c r="X61" s="473"/>
      <c r="Y61" s="473"/>
      <c r="Z61" s="473"/>
      <c r="AA61" s="473"/>
      <c r="AB61" s="473"/>
      <c r="AC61" s="473"/>
      <c r="AD61" s="473"/>
      <c r="AE61" s="473"/>
      <c r="AF61" s="473"/>
      <c r="AG61" s="473"/>
      <c r="AH61" s="473"/>
      <c r="AI61" s="473"/>
      <c r="AJ61" s="473"/>
      <c r="AK61" s="473"/>
      <c r="AL61" s="473"/>
      <c r="AM61" s="404"/>
      <c r="AN61" s="238"/>
      <c r="AO61" s="238"/>
      <c r="AP61" s="238"/>
      <c r="AQ61" s="238"/>
      <c r="AR61" s="238"/>
      <c r="AS61" s="238"/>
      <c r="AT61" s="238"/>
      <c r="AU61" s="238"/>
      <c r="AV61" s="238"/>
      <c r="AW61" s="327"/>
      <c r="AX61" s="277"/>
      <c r="AY61" s="277"/>
      <c r="AZ61" s="277"/>
      <c r="BA61" s="277"/>
      <c r="BB61" s="277"/>
      <c r="BC61" s="277"/>
      <c r="BD61" s="277"/>
      <c r="BE61" s="277"/>
      <c r="BF61" s="351"/>
      <c r="BG61" s="238"/>
      <c r="BH61" s="238"/>
      <c r="BI61" s="238"/>
      <c r="BJ61" s="238"/>
      <c r="BK61" s="238"/>
      <c r="BL61" s="238"/>
      <c r="BM61" s="238"/>
      <c r="BN61" s="238"/>
      <c r="BO61" s="238"/>
      <c r="BP61" s="238"/>
      <c r="BQ61" s="238"/>
      <c r="BR61" s="238"/>
      <c r="BS61" s="238"/>
      <c r="BT61" s="238"/>
      <c r="BU61" s="238"/>
      <c r="BV61" s="238"/>
      <c r="BW61" s="238"/>
      <c r="BX61" s="238"/>
      <c r="BY61" s="238"/>
      <c r="BZ61" s="238"/>
      <c r="CA61" s="238"/>
      <c r="CB61" s="238"/>
      <c r="CC61" s="238"/>
      <c r="CD61" s="238"/>
      <c r="CE61" s="238"/>
      <c r="CF61" s="238"/>
      <c r="CG61" s="238"/>
      <c r="CH61" s="238"/>
      <c r="CI61" s="238"/>
      <c r="CJ61" s="399"/>
      <c r="CK61" s="401"/>
      <c r="CL61" s="238"/>
      <c r="CM61" s="238"/>
      <c r="CN61" s="238"/>
      <c r="CO61" s="238"/>
      <c r="CP61" s="238"/>
      <c r="CQ61" s="462"/>
      <c r="CR61" s="462"/>
      <c r="CS61" s="462"/>
      <c r="CT61" s="400"/>
    </row>
    <row r="62" spans="1:98">
      <c r="A62" s="246">
        <v>8</v>
      </c>
      <c r="B62" s="246" t="s">
        <v>1232</v>
      </c>
      <c r="C62" s="246" t="s">
        <v>1326</v>
      </c>
      <c r="D62" s="246" t="s">
        <v>1280</v>
      </c>
      <c r="E62" s="246"/>
      <c r="F62" s="268"/>
      <c r="G62" s="268">
        <v>1</v>
      </c>
      <c r="H62" s="246"/>
      <c r="I62" s="473"/>
      <c r="J62" s="473"/>
      <c r="K62" s="473"/>
      <c r="L62" s="473"/>
      <c r="M62" s="473"/>
      <c r="N62" s="473"/>
      <c r="O62" s="473"/>
      <c r="P62" s="473"/>
      <c r="Q62" s="473"/>
      <c r="R62" s="473"/>
      <c r="S62" s="473"/>
      <c r="T62" s="473"/>
      <c r="U62" s="473"/>
      <c r="V62" s="473"/>
      <c r="W62" s="473"/>
      <c r="X62" s="473"/>
      <c r="Y62" s="473"/>
      <c r="Z62" s="473"/>
      <c r="AA62" s="473"/>
      <c r="AB62" s="473"/>
      <c r="AC62" s="473"/>
      <c r="AD62" s="473"/>
      <c r="AE62" s="473"/>
      <c r="AF62" s="473"/>
      <c r="AG62" s="473"/>
      <c r="AH62" s="473"/>
      <c r="AI62" s="473"/>
      <c r="AJ62" s="473"/>
      <c r="AK62" s="473"/>
      <c r="AL62" s="473"/>
      <c r="AM62" s="404"/>
      <c r="AN62" s="238"/>
      <c r="AO62" s="238"/>
      <c r="AP62" s="238"/>
      <c r="AQ62" s="238"/>
      <c r="AR62" s="238"/>
      <c r="AS62" s="238"/>
      <c r="AT62" s="238"/>
      <c r="AU62" s="238"/>
      <c r="AV62" s="238"/>
      <c r="AW62" s="327"/>
      <c r="AX62" s="277"/>
      <c r="AY62" s="277"/>
      <c r="AZ62" s="277"/>
      <c r="BA62" s="277"/>
      <c r="BB62" s="277"/>
      <c r="BC62" s="277"/>
      <c r="BD62" s="277"/>
      <c r="BE62" s="277"/>
      <c r="BF62" s="351"/>
      <c r="BG62" s="238"/>
      <c r="BH62" s="238"/>
      <c r="BI62" s="238"/>
      <c r="BJ62" s="238"/>
      <c r="BK62" s="238"/>
      <c r="BL62" s="238"/>
      <c r="BM62" s="238"/>
      <c r="BN62" s="238"/>
      <c r="BO62" s="238"/>
      <c r="BP62" s="238"/>
      <c r="BQ62" s="238"/>
      <c r="BR62" s="238"/>
      <c r="BS62" s="238"/>
      <c r="BT62" s="238"/>
      <c r="BU62" s="238"/>
      <c r="BV62" s="238"/>
      <c r="BW62" s="238"/>
      <c r="BX62" s="238"/>
      <c r="BY62" s="238"/>
      <c r="BZ62" s="238"/>
      <c r="CA62" s="238"/>
      <c r="CB62" s="238"/>
      <c r="CC62" s="238"/>
      <c r="CD62" s="238"/>
      <c r="CE62" s="238"/>
      <c r="CF62" s="238"/>
      <c r="CG62" s="238"/>
      <c r="CH62" s="238"/>
      <c r="CI62" s="238"/>
      <c r="CJ62" s="399"/>
      <c r="CK62" s="402"/>
      <c r="CL62" s="403"/>
      <c r="CM62" s="403"/>
      <c r="CN62" s="403"/>
      <c r="CO62" s="403"/>
      <c r="CP62" s="403"/>
      <c r="CQ62" s="403"/>
      <c r="CR62" s="403"/>
      <c r="CS62" s="403"/>
      <c r="CT62" s="470"/>
    </row>
    <row r="63" spans="1:98" ht="14.45" hidden="1" customHeight="1">
      <c r="A63" s="330">
        <v>9</v>
      </c>
      <c r="B63" s="330" t="s">
        <v>1278</v>
      </c>
      <c r="C63" s="330" t="s">
        <v>1327</v>
      </c>
      <c r="D63" s="331" t="s">
        <v>1280</v>
      </c>
      <c r="E63" s="331" t="s">
        <v>1281</v>
      </c>
      <c r="F63" s="330"/>
      <c r="G63" s="331"/>
      <c r="H63" s="331"/>
      <c r="I63" s="499"/>
      <c r="J63" s="337"/>
      <c r="K63" s="337"/>
      <c r="L63" s="337"/>
      <c r="M63" s="339"/>
      <c r="N63" s="499"/>
      <c r="O63" s="337"/>
      <c r="P63" s="337"/>
      <c r="Q63" s="337"/>
      <c r="R63" s="339"/>
      <c r="S63" s="499"/>
      <c r="T63" s="337"/>
      <c r="U63" s="337"/>
      <c r="V63" s="337"/>
      <c r="W63" s="338"/>
      <c r="X63" s="499"/>
      <c r="Y63" s="337"/>
      <c r="Z63" s="337"/>
      <c r="AA63" s="337"/>
      <c r="AB63" s="338"/>
      <c r="AC63" s="336"/>
      <c r="AD63" s="337"/>
      <c r="AE63" s="337"/>
      <c r="AF63" s="337"/>
      <c r="AG63" s="338"/>
      <c r="AH63" s="336"/>
      <c r="AI63" s="337"/>
      <c r="AJ63" s="337"/>
      <c r="AK63" s="337"/>
      <c r="AL63" s="339"/>
      <c r="AM63" s="350"/>
      <c r="AN63" s="350"/>
      <c r="AO63" s="350"/>
      <c r="AP63" s="350"/>
      <c r="AQ63" s="350"/>
      <c r="AR63" s="350"/>
      <c r="AS63" s="350"/>
      <c r="AT63" s="350"/>
      <c r="AU63" s="350"/>
      <c r="AV63" s="350"/>
    </row>
    <row r="64" spans="1:98" hidden="1">
      <c r="A64" s="246">
        <v>9</v>
      </c>
      <c r="B64" s="246" t="s">
        <v>1232</v>
      </c>
      <c r="C64" s="246" t="s">
        <v>1328</v>
      </c>
      <c r="D64" s="246" t="s">
        <v>1280</v>
      </c>
      <c r="E64" s="246"/>
      <c r="F64" s="268"/>
      <c r="G64" s="246"/>
      <c r="H64" s="246"/>
      <c r="I64" s="296"/>
      <c r="J64" s="294"/>
      <c r="K64" s="294"/>
      <c r="L64" s="294"/>
      <c r="M64" s="312"/>
      <c r="N64" s="296"/>
      <c r="O64" s="294"/>
      <c r="P64" s="294"/>
      <c r="Q64" s="294"/>
      <c r="R64" s="312"/>
      <c r="S64" s="296"/>
      <c r="T64" s="294"/>
      <c r="U64" s="294"/>
      <c r="V64" s="294"/>
      <c r="W64" s="295"/>
      <c r="X64" s="296"/>
      <c r="Y64" s="294"/>
      <c r="Z64" s="294"/>
      <c r="AA64" s="294"/>
      <c r="AB64" s="295"/>
      <c r="AC64" s="292"/>
      <c r="AD64" s="294"/>
      <c r="AE64" s="294"/>
      <c r="AF64" s="294"/>
      <c r="AG64" s="295"/>
      <c r="AH64" s="292"/>
      <c r="AI64" s="294"/>
      <c r="AJ64" s="294"/>
      <c r="AK64" s="294"/>
      <c r="AL64" s="312"/>
      <c r="AM64" s="277"/>
      <c r="AN64" s="277"/>
      <c r="AO64" s="277"/>
      <c r="AP64" s="277"/>
      <c r="AQ64" s="277"/>
      <c r="AR64" s="277"/>
      <c r="AS64" s="277"/>
      <c r="AT64" s="277"/>
      <c r="AU64" s="277"/>
      <c r="AV64" s="277"/>
    </row>
    <row r="65" spans="1:48" hidden="1">
      <c r="A65" s="246">
        <v>9</v>
      </c>
      <c r="B65" s="246" t="s">
        <v>1232</v>
      </c>
      <c r="C65" s="246" t="s">
        <v>1329</v>
      </c>
      <c r="D65" s="246" t="s">
        <v>1280</v>
      </c>
      <c r="E65" s="246"/>
      <c r="F65" s="268"/>
      <c r="G65" s="246"/>
      <c r="H65" s="246"/>
      <c r="I65" s="296"/>
      <c r="J65" s="294"/>
      <c r="K65" s="294"/>
      <c r="L65" s="294"/>
      <c r="M65" s="312"/>
      <c r="N65" s="296"/>
      <c r="O65" s="294"/>
      <c r="P65" s="294"/>
      <c r="Q65" s="294"/>
      <c r="R65" s="312"/>
      <c r="S65" s="296"/>
      <c r="T65" s="294"/>
      <c r="U65" s="294"/>
      <c r="V65" s="294"/>
      <c r="W65" s="295"/>
      <c r="X65" s="296"/>
      <c r="Y65" s="294"/>
      <c r="Z65" s="294"/>
      <c r="AA65" s="294"/>
      <c r="AB65" s="295"/>
      <c r="AC65" s="292"/>
      <c r="AD65" s="294"/>
      <c r="AE65" s="294"/>
      <c r="AF65" s="294"/>
      <c r="AG65" s="295"/>
      <c r="AH65" s="292"/>
      <c r="AI65" s="294"/>
      <c r="AJ65" s="294"/>
      <c r="AK65" s="294"/>
      <c r="AL65" s="312"/>
      <c r="AM65" s="277"/>
      <c r="AN65" s="277"/>
      <c r="AO65" s="277"/>
      <c r="AP65" s="277"/>
      <c r="AQ65" s="277"/>
      <c r="AR65" s="277"/>
      <c r="AS65" s="277"/>
      <c r="AT65" s="277"/>
      <c r="AU65" s="277"/>
      <c r="AV65" s="277"/>
    </row>
    <row r="66" spans="1:48" hidden="1">
      <c r="A66" s="246">
        <v>9</v>
      </c>
      <c r="B66" s="246" t="s">
        <v>1232</v>
      </c>
      <c r="C66" s="246" t="s">
        <v>1330</v>
      </c>
      <c r="D66" s="246" t="s">
        <v>1280</v>
      </c>
      <c r="E66" s="246"/>
      <c r="F66" s="268"/>
      <c r="G66" s="246"/>
      <c r="H66" s="246"/>
      <c r="I66" s="296"/>
      <c r="J66" s="294"/>
      <c r="K66" s="294"/>
      <c r="L66" s="294"/>
      <c r="M66" s="312"/>
      <c r="N66" s="296"/>
      <c r="O66" s="294"/>
      <c r="P66" s="294"/>
      <c r="Q66" s="294"/>
      <c r="R66" s="312"/>
      <c r="S66" s="296"/>
      <c r="T66" s="294"/>
      <c r="U66" s="294"/>
      <c r="V66" s="294"/>
      <c r="W66" s="295"/>
      <c r="X66" s="296"/>
      <c r="Y66" s="294"/>
      <c r="Z66" s="294"/>
      <c r="AA66" s="294"/>
      <c r="AB66" s="295"/>
      <c r="AC66" s="292"/>
      <c r="AD66" s="294"/>
      <c r="AE66" s="294"/>
      <c r="AF66" s="294"/>
      <c r="AG66" s="295"/>
      <c r="AH66" s="292"/>
      <c r="AI66" s="294"/>
      <c r="AJ66" s="294"/>
      <c r="AK66" s="294"/>
      <c r="AL66" s="312"/>
      <c r="AM66" s="277"/>
      <c r="AN66" s="277"/>
      <c r="AO66" s="277"/>
      <c r="AP66" s="277"/>
      <c r="AQ66" s="277"/>
      <c r="AR66" s="277"/>
      <c r="AS66" s="277"/>
      <c r="AT66" s="277"/>
      <c r="AU66" s="277"/>
      <c r="AV66" s="277"/>
    </row>
    <row r="67" spans="1:48" hidden="1">
      <c r="A67" s="246">
        <v>9</v>
      </c>
      <c r="B67" s="246" t="s">
        <v>1232</v>
      </c>
      <c r="C67" s="246" t="s">
        <v>1331</v>
      </c>
      <c r="D67" s="246" t="s">
        <v>1280</v>
      </c>
      <c r="E67" s="246"/>
      <c r="F67" s="268"/>
      <c r="G67" s="246"/>
      <c r="H67" s="246"/>
      <c r="I67" s="296"/>
      <c r="J67" s="294"/>
      <c r="K67" s="294"/>
      <c r="L67" s="294"/>
      <c r="M67" s="312"/>
      <c r="N67" s="296"/>
      <c r="O67" s="294"/>
      <c r="P67" s="294"/>
      <c r="Q67" s="294"/>
      <c r="R67" s="312"/>
      <c r="S67" s="296"/>
      <c r="T67" s="294"/>
      <c r="U67" s="294"/>
      <c r="V67" s="294"/>
      <c r="W67" s="295"/>
      <c r="X67" s="296"/>
      <c r="Y67" s="294"/>
      <c r="Z67" s="294"/>
      <c r="AA67" s="294"/>
      <c r="AB67" s="295"/>
      <c r="AC67" s="292"/>
      <c r="AD67" s="294"/>
      <c r="AE67" s="294"/>
      <c r="AF67" s="294"/>
      <c r="AG67" s="295"/>
      <c r="AH67" s="292"/>
      <c r="AI67" s="294"/>
      <c r="AJ67" s="294"/>
      <c r="AK67" s="294"/>
      <c r="AL67" s="312"/>
      <c r="AM67" s="277"/>
      <c r="AN67" s="277"/>
      <c r="AO67" s="277"/>
      <c r="AP67" s="277"/>
      <c r="AQ67" s="277"/>
      <c r="AR67" s="277"/>
      <c r="AS67" s="277"/>
      <c r="AT67" s="277"/>
      <c r="AU67" s="277"/>
      <c r="AV67" s="277"/>
    </row>
    <row r="68" spans="1:48" ht="14.45" hidden="1" customHeight="1">
      <c r="A68" s="330">
        <v>10</v>
      </c>
      <c r="B68" s="330" t="s">
        <v>1278</v>
      </c>
      <c r="C68" s="330" t="s">
        <v>1332</v>
      </c>
      <c r="D68" s="331" t="s">
        <v>1280</v>
      </c>
      <c r="E68" s="331" t="s">
        <v>1281</v>
      </c>
      <c r="F68" s="330"/>
      <c r="G68" s="331"/>
      <c r="H68" s="331"/>
      <c r="I68" s="332"/>
      <c r="J68" s="333"/>
      <c r="K68" s="333"/>
      <c r="L68" s="333"/>
      <c r="M68" s="334"/>
      <c r="N68" s="332"/>
      <c r="O68" s="333"/>
      <c r="P68" s="333"/>
      <c r="Q68" s="333"/>
      <c r="R68" s="334"/>
      <c r="S68" s="332"/>
      <c r="T68" s="333"/>
      <c r="U68" s="333"/>
      <c r="V68" s="333"/>
      <c r="W68" s="335"/>
      <c r="X68" s="332"/>
      <c r="Y68" s="333"/>
      <c r="Z68" s="333"/>
      <c r="AA68" s="333"/>
      <c r="AB68" s="335"/>
      <c r="AC68" s="349"/>
      <c r="AD68" s="333"/>
      <c r="AE68" s="333"/>
      <c r="AF68" s="333"/>
      <c r="AG68" s="335"/>
      <c r="AH68" s="349"/>
      <c r="AI68" s="333"/>
      <c r="AJ68" s="333"/>
      <c r="AK68" s="333"/>
      <c r="AL68" s="334"/>
      <c r="AM68" s="340"/>
      <c r="AN68" s="340"/>
      <c r="AO68" s="340"/>
      <c r="AP68" s="340"/>
      <c r="AQ68" s="340"/>
      <c r="AR68" s="340"/>
      <c r="AS68" s="340"/>
      <c r="AT68" s="340"/>
      <c r="AU68" s="340"/>
      <c r="AV68" s="340"/>
    </row>
    <row r="69" spans="1:48" hidden="1">
      <c r="A69" s="354">
        <v>10</v>
      </c>
      <c r="B69" s="246" t="s">
        <v>1232</v>
      </c>
      <c r="C69" s="246" t="s">
        <v>1333</v>
      </c>
      <c r="D69" s="246" t="s">
        <v>1280</v>
      </c>
      <c r="E69" s="246"/>
      <c r="F69" s="268"/>
      <c r="G69" s="246"/>
      <c r="H69" s="246"/>
      <c r="I69" s="296"/>
      <c r="J69" s="294"/>
      <c r="K69" s="294"/>
      <c r="L69" s="294"/>
      <c r="M69" s="312"/>
      <c r="N69" s="296"/>
      <c r="O69" s="294"/>
      <c r="P69" s="294"/>
      <c r="Q69" s="294"/>
      <c r="R69" s="312"/>
      <c r="S69" s="296"/>
      <c r="T69" s="294"/>
      <c r="U69" s="294"/>
      <c r="V69" s="294"/>
      <c r="W69" s="295"/>
      <c r="X69" s="296"/>
      <c r="Y69" s="294"/>
      <c r="Z69" s="294"/>
      <c r="AA69" s="294"/>
      <c r="AB69" s="295"/>
      <c r="AC69" s="292"/>
      <c r="AD69" s="294"/>
      <c r="AE69" s="294"/>
      <c r="AF69" s="294"/>
      <c r="AG69" s="295"/>
      <c r="AH69" s="292"/>
      <c r="AI69" s="294"/>
      <c r="AJ69" s="294"/>
      <c r="AK69" s="294"/>
      <c r="AL69" s="312"/>
      <c r="AM69" s="277"/>
      <c r="AN69" s="277"/>
      <c r="AO69" s="277"/>
      <c r="AP69" s="277"/>
      <c r="AQ69" s="277"/>
      <c r="AR69" s="277"/>
      <c r="AS69" s="277"/>
      <c r="AT69" s="277"/>
      <c r="AU69" s="277"/>
      <c r="AV69" s="277"/>
    </row>
    <row r="70" spans="1:48" hidden="1">
      <c r="A70" s="354">
        <v>10</v>
      </c>
      <c r="B70" s="246" t="s">
        <v>1232</v>
      </c>
      <c r="C70" s="246" t="s">
        <v>1334</v>
      </c>
      <c r="D70" s="246" t="s">
        <v>1280</v>
      </c>
      <c r="E70" s="246"/>
      <c r="F70" s="268"/>
      <c r="G70" s="246"/>
      <c r="H70" s="246"/>
      <c r="I70" s="296"/>
      <c r="J70" s="294"/>
      <c r="K70" s="294"/>
      <c r="L70" s="294"/>
      <c r="M70" s="312"/>
      <c r="N70" s="296"/>
      <c r="O70" s="294"/>
      <c r="P70" s="294"/>
      <c r="Q70" s="294"/>
      <c r="R70" s="312"/>
      <c r="S70" s="296"/>
      <c r="T70" s="294"/>
      <c r="U70" s="294"/>
      <c r="V70" s="294"/>
      <c r="W70" s="295"/>
      <c r="X70" s="296"/>
      <c r="Y70" s="294"/>
      <c r="Z70" s="294"/>
      <c r="AA70" s="294"/>
      <c r="AB70" s="295"/>
      <c r="AC70" s="292"/>
      <c r="AD70" s="294"/>
      <c r="AE70" s="294"/>
      <c r="AF70" s="294"/>
      <c r="AG70" s="295"/>
      <c r="AH70" s="292"/>
      <c r="AI70" s="294"/>
      <c r="AJ70" s="294"/>
      <c r="AK70" s="294"/>
      <c r="AL70" s="312"/>
      <c r="AM70" s="277"/>
      <c r="AN70" s="277"/>
      <c r="AO70" s="277"/>
      <c r="AP70" s="277"/>
      <c r="AQ70" s="277"/>
      <c r="AR70" s="277"/>
      <c r="AS70" s="277"/>
      <c r="AT70" s="277"/>
      <c r="AU70" s="277"/>
      <c r="AV70" s="277"/>
    </row>
    <row r="71" spans="1:48" hidden="1">
      <c r="A71" s="354">
        <v>10</v>
      </c>
      <c r="B71" s="246" t="s">
        <v>1232</v>
      </c>
      <c r="C71" s="246" t="s">
        <v>1335</v>
      </c>
      <c r="D71" s="246" t="s">
        <v>1280</v>
      </c>
      <c r="E71" s="246"/>
      <c r="F71" s="268"/>
      <c r="G71" s="246"/>
      <c r="H71" s="246"/>
      <c r="I71" s="296"/>
      <c r="J71" s="294"/>
      <c r="K71" s="294"/>
      <c r="L71" s="294"/>
      <c r="M71" s="312"/>
      <c r="N71" s="296"/>
      <c r="O71" s="294"/>
      <c r="P71" s="294"/>
      <c r="Q71" s="294"/>
      <c r="R71" s="312"/>
      <c r="S71" s="296"/>
      <c r="T71" s="294"/>
      <c r="U71" s="294"/>
      <c r="V71" s="294"/>
      <c r="W71" s="295"/>
      <c r="X71" s="296"/>
      <c r="Y71" s="294"/>
      <c r="Z71" s="294"/>
      <c r="AA71" s="294"/>
      <c r="AB71" s="295"/>
      <c r="AC71" s="292"/>
      <c r="AD71" s="294"/>
      <c r="AE71" s="294"/>
      <c r="AF71" s="294"/>
      <c r="AG71" s="295"/>
      <c r="AH71" s="292"/>
      <c r="AI71" s="294"/>
      <c r="AJ71" s="294"/>
      <c r="AK71" s="294"/>
      <c r="AL71" s="312"/>
      <c r="AM71" s="277"/>
      <c r="AN71" s="277"/>
      <c r="AO71" s="277"/>
      <c r="AP71" s="277"/>
      <c r="AQ71" s="277"/>
      <c r="AR71" s="277"/>
      <c r="AS71" s="277"/>
      <c r="AT71" s="277"/>
      <c r="AU71" s="277"/>
      <c r="AV71" s="277"/>
    </row>
    <row r="72" spans="1:48" hidden="1">
      <c r="A72" s="354">
        <v>10</v>
      </c>
      <c r="B72" s="246" t="s">
        <v>1232</v>
      </c>
      <c r="C72" s="246" t="s">
        <v>1336</v>
      </c>
      <c r="D72" s="246" t="s">
        <v>1280</v>
      </c>
      <c r="E72" s="246"/>
      <c r="F72" s="268"/>
      <c r="G72" s="246"/>
      <c r="H72" s="246"/>
      <c r="I72" s="296"/>
      <c r="J72" s="294"/>
      <c r="K72" s="294"/>
      <c r="L72" s="294"/>
      <c r="M72" s="312"/>
      <c r="N72" s="296"/>
      <c r="O72" s="294"/>
      <c r="P72" s="294"/>
      <c r="Q72" s="294"/>
      <c r="R72" s="312"/>
      <c r="S72" s="296"/>
      <c r="T72" s="294"/>
      <c r="U72" s="294"/>
      <c r="V72" s="294"/>
      <c r="W72" s="295"/>
      <c r="X72" s="296"/>
      <c r="Y72" s="294"/>
      <c r="Z72" s="294"/>
      <c r="AA72" s="294"/>
      <c r="AB72" s="295"/>
      <c r="AC72" s="292"/>
      <c r="AD72" s="294"/>
      <c r="AE72" s="294"/>
      <c r="AF72" s="294"/>
      <c r="AG72" s="295"/>
      <c r="AH72" s="292"/>
      <c r="AI72" s="294"/>
      <c r="AJ72" s="294"/>
      <c r="AK72" s="294"/>
      <c r="AL72" s="312"/>
      <c r="AM72" s="277"/>
      <c r="AN72" s="277"/>
      <c r="AO72" s="277"/>
      <c r="AP72" s="277"/>
      <c r="AQ72" s="277"/>
      <c r="AR72" s="277"/>
      <c r="AS72" s="277"/>
      <c r="AT72" s="277"/>
      <c r="AU72" s="277"/>
      <c r="AV72" s="277"/>
    </row>
    <row r="73" spans="1:48" ht="14.45" hidden="1" customHeight="1">
      <c r="A73" s="330">
        <v>11</v>
      </c>
      <c r="B73" s="330" t="s">
        <v>1278</v>
      </c>
      <c r="C73" s="330" t="s">
        <v>1337</v>
      </c>
      <c r="D73" s="331" t="s">
        <v>1280</v>
      </c>
      <c r="E73" s="331" t="s">
        <v>1281</v>
      </c>
      <c r="F73" s="330"/>
      <c r="G73" s="331"/>
      <c r="H73" s="331"/>
      <c r="I73" s="332"/>
      <c r="J73" s="333"/>
      <c r="K73" s="333"/>
      <c r="L73" s="333"/>
      <c r="M73" s="334"/>
      <c r="N73" s="332"/>
      <c r="O73" s="333"/>
      <c r="P73" s="333"/>
      <c r="Q73" s="333"/>
      <c r="R73" s="334"/>
      <c r="S73" s="332"/>
      <c r="T73" s="333"/>
      <c r="U73" s="333"/>
      <c r="V73" s="333"/>
      <c r="W73" s="335"/>
      <c r="X73" s="332"/>
      <c r="Y73" s="333"/>
      <c r="Z73" s="333"/>
      <c r="AA73" s="333"/>
      <c r="AB73" s="335"/>
      <c r="AC73" s="349"/>
      <c r="AD73" s="333"/>
      <c r="AE73" s="333"/>
      <c r="AF73" s="333"/>
      <c r="AG73" s="335"/>
      <c r="AH73" s="349"/>
      <c r="AI73" s="333"/>
      <c r="AJ73" s="333"/>
      <c r="AK73" s="333"/>
      <c r="AL73" s="334"/>
      <c r="AM73" s="340"/>
      <c r="AN73" s="340"/>
      <c r="AO73" s="340"/>
      <c r="AP73" s="340"/>
      <c r="AQ73" s="340"/>
      <c r="AR73" s="340"/>
      <c r="AS73" s="340"/>
      <c r="AT73" s="340"/>
      <c r="AU73" s="340"/>
      <c r="AV73" s="340"/>
    </row>
    <row r="74" spans="1:48" hidden="1">
      <c r="A74" s="354">
        <v>11</v>
      </c>
      <c r="B74" s="246" t="s">
        <v>1232</v>
      </c>
      <c r="C74" s="246" t="s">
        <v>1338</v>
      </c>
      <c r="D74" s="246" t="s">
        <v>1280</v>
      </c>
      <c r="E74" s="246"/>
      <c r="F74" s="268"/>
      <c r="G74" s="246"/>
      <c r="H74" s="246"/>
      <c r="I74" s="296"/>
      <c r="J74" s="294"/>
      <c r="K74" s="294"/>
      <c r="L74" s="294"/>
      <c r="M74" s="312"/>
      <c r="N74" s="296"/>
      <c r="O74" s="294"/>
      <c r="P74" s="294"/>
      <c r="Q74" s="294"/>
      <c r="R74" s="312"/>
      <c r="S74" s="296"/>
      <c r="T74" s="294"/>
      <c r="U74" s="294"/>
      <c r="V74" s="294"/>
      <c r="W74" s="295"/>
      <c r="X74" s="296"/>
      <c r="Y74" s="294"/>
      <c r="Z74" s="294"/>
      <c r="AA74" s="294"/>
      <c r="AB74" s="295"/>
      <c r="AC74" s="292"/>
      <c r="AD74" s="294"/>
      <c r="AE74" s="294"/>
      <c r="AF74" s="294"/>
      <c r="AG74" s="295"/>
      <c r="AH74" s="292"/>
      <c r="AI74" s="294"/>
      <c r="AJ74" s="294"/>
      <c r="AK74" s="294"/>
      <c r="AL74" s="312"/>
      <c r="AM74" s="277"/>
      <c r="AN74" s="277"/>
      <c r="AO74" s="277"/>
      <c r="AP74" s="277"/>
      <c r="AQ74" s="277"/>
      <c r="AR74" s="277"/>
      <c r="AS74" s="277"/>
      <c r="AT74" s="277"/>
      <c r="AU74" s="277"/>
      <c r="AV74" s="277"/>
    </row>
    <row r="75" spans="1:48" hidden="1">
      <c r="A75" s="354">
        <v>11</v>
      </c>
      <c r="B75" s="246" t="s">
        <v>1232</v>
      </c>
      <c r="C75" s="246" t="s">
        <v>1334</v>
      </c>
      <c r="D75" s="246" t="s">
        <v>1280</v>
      </c>
      <c r="E75" s="246"/>
      <c r="F75" s="268"/>
      <c r="G75" s="246"/>
      <c r="H75" s="246"/>
      <c r="I75" s="296"/>
      <c r="J75" s="294"/>
      <c r="K75" s="294"/>
      <c r="L75" s="294"/>
      <c r="M75" s="312"/>
      <c r="N75" s="296"/>
      <c r="O75" s="294"/>
      <c r="P75" s="294"/>
      <c r="Q75" s="294"/>
      <c r="R75" s="312"/>
      <c r="S75" s="296"/>
      <c r="T75" s="294"/>
      <c r="U75" s="294"/>
      <c r="V75" s="294"/>
      <c r="W75" s="295"/>
      <c r="X75" s="296"/>
      <c r="Y75" s="294"/>
      <c r="Z75" s="294"/>
      <c r="AA75" s="294"/>
      <c r="AB75" s="295"/>
      <c r="AC75" s="292"/>
      <c r="AD75" s="294"/>
      <c r="AE75" s="294"/>
      <c r="AF75" s="294"/>
      <c r="AG75" s="295"/>
      <c r="AH75" s="292"/>
      <c r="AI75" s="294"/>
      <c r="AJ75" s="294"/>
      <c r="AK75" s="294"/>
      <c r="AL75" s="312"/>
      <c r="AM75" s="277"/>
      <c r="AN75" s="277"/>
      <c r="AO75" s="277"/>
      <c r="AP75" s="277"/>
      <c r="AQ75" s="277"/>
      <c r="AR75" s="277"/>
      <c r="AS75" s="277"/>
      <c r="AT75" s="277"/>
      <c r="AU75" s="277"/>
      <c r="AV75" s="277"/>
    </row>
    <row r="76" spans="1:48" hidden="1">
      <c r="A76" s="354">
        <v>11</v>
      </c>
      <c r="B76" s="246" t="s">
        <v>1232</v>
      </c>
      <c r="C76" s="246" t="s">
        <v>1339</v>
      </c>
      <c r="D76" s="246" t="s">
        <v>1280</v>
      </c>
      <c r="E76" s="246"/>
      <c r="F76" s="268"/>
      <c r="G76" s="246"/>
      <c r="H76" s="246"/>
      <c r="I76" s="296"/>
      <c r="J76" s="294"/>
      <c r="K76" s="294"/>
      <c r="L76" s="294"/>
      <c r="M76" s="312"/>
      <c r="N76" s="296"/>
      <c r="O76" s="294"/>
      <c r="P76" s="294"/>
      <c r="Q76" s="294"/>
      <c r="R76" s="312"/>
      <c r="S76" s="296"/>
      <c r="T76" s="294"/>
      <c r="U76" s="294"/>
      <c r="V76" s="294"/>
      <c r="W76" s="295"/>
      <c r="X76" s="296"/>
      <c r="Y76" s="294"/>
      <c r="Z76" s="294"/>
      <c r="AA76" s="294"/>
      <c r="AB76" s="295"/>
      <c r="AC76" s="292"/>
      <c r="AD76" s="294"/>
      <c r="AE76" s="294"/>
      <c r="AF76" s="294"/>
      <c r="AG76" s="295"/>
      <c r="AH76" s="292"/>
      <c r="AI76" s="294"/>
      <c r="AJ76" s="294"/>
      <c r="AK76" s="294"/>
      <c r="AL76" s="312"/>
      <c r="AM76" s="277"/>
      <c r="AN76" s="277"/>
      <c r="AO76" s="277"/>
      <c r="AP76" s="277"/>
      <c r="AQ76" s="277"/>
      <c r="AR76" s="277"/>
      <c r="AS76" s="277"/>
      <c r="AT76" s="277"/>
      <c r="AU76" s="277"/>
      <c r="AV76" s="277"/>
    </row>
    <row r="77" spans="1:48" hidden="1">
      <c r="A77" s="354">
        <v>11</v>
      </c>
      <c r="B77" s="246" t="s">
        <v>1232</v>
      </c>
      <c r="C77" s="246" t="s">
        <v>1335</v>
      </c>
      <c r="D77" s="246" t="s">
        <v>1280</v>
      </c>
      <c r="E77" s="246"/>
      <c r="F77" s="268"/>
      <c r="G77" s="246"/>
      <c r="H77" s="246"/>
      <c r="I77" s="296"/>
      <c r="J77" s="294"/>
      <c r="K77" s="294"/>
      <c r="L77" s="294"/>
      <c r="M77" s="312"/>
      <c r="N77" s="296"/>
      <c r="O77" s="294"/>
      <c r="P77" s="294"/>
      <c r="Q77" s="294"/>
      <c r="R77" s="312"/>
      <c r="S77" s="296"/>
      <c r="T77" s="294"/>
      <c r="U77" s="294"/>
      <c r="V77" s="294"/>
      <c r="W77" s="295"/>
      <c r="X77" s="296"/>
      <c r="Y77" s="294"/>
      <c r="Z77" s="294"/>
      <c r="AA77" s="294"/>
      <c r="AB77" s="295"/>
      <c r="AC77" s="292"/>
      <c r="AD77" s="294"/>
      <c r="AE77" s="294"/>
      <c r="AF77" s="294"/>
      <c r="AG77" s="295"/>
      <c r="AH77" s="292"/>
      <c r="AI77" s="294"/>
      <c r="AJ77" s="294"/>
      <c r="AK77" s="294"/>
      <c r="AL77" s="312"/>
      <c r="AM77" s="277"/>
      <c r="AN77" s="277"/>
      <c r="AO77" s="277"/>
      <c r="AP77" s="277"/>
      <c r="AQ77" s="277"/>
      <c r="AR77" s="277"/>
      <c r="AS77" s="277"/>
      <c r="AT77" s="277"/>
      <c r="AU77" s="277"/>
      <c r="AV77" s="277"/>
    </row>
    <row r="78" spans="1:48" hidden="1">
      <c r="A78" s="354">
        <v>11</v>
      </c>
      <c r="B78" s="246" t="s">
        <v>1232</v>
      </c>
      <c r="C78" s="246" t="s">
        <v>1340</v>
      </c>
      <c r="D78" s="246" t="s">
        <v>1280</v>
      </c>
      <c r="E78" s="246"/>
      <c r="F78" s="268"/>
      <c r="G78" s="246"/>
      <c r="H78" s="246"/>
      <c r="I78" s="296"/>
      <c r="J78" s="294"/>
      <c r="K78" s="294"/>
      <c r="L78" s="294"/>
      <c r="M78" s="312"/>
      <c r="N78" s="296"/>
      <c r="O78" s="294"/>
      <c r="P78" s="294"/>
      <c r="Q78" s="294"/>
      <c r="R78" s="312"/>
      <c r="S78" s="296"/>
      <c r="T78" s="294"/>
      <c r="U78" s="294"/>
      <c r="V78" s="294"/>
      <c r="W78" s="295"/>
      <c r="X78" s="296"/>
      <c r="Y78" s="294"/>
      <c r="Z78" s="294"/>
      <c r="AA78" s="294"/>
      <c r="AB78" s="295"/>
      <c r="AC78" s="292"/>
      <c r="AD78" s="294"/>
      <c r="AE78" s="294"/>
      <c r="AF78" s="294"/>
      <c r="AG78" s="295"/>
      <c r="AH78" s="292"/>
      <c r="AI78" s="294"/>
      <c r="AJ78" s="294"/>
      <c r="AK78" s="294"/>
      <c r="AL78" s="312"/>
      <c r="AM78" s="277"/>
      <c r="AN78" s="277"/>
      <c r="AO78" s="277"/>
      <c r="AP78" s="277"/>
      <c r="AQ78" s="277"/>
      <c r="AR78" s="277"/>
      <c r="AS78" s="277"/>
      <c r="AT78" s="277"/>
      <c r="AU78" s="277"/>
      <c r="AV78" s="277"/>
    </row>
    <row r="79" spans="1:48" ht="14.45" hidden="1" customHeight="1">
      <c r="A79" s="330">
        <v>12</v>
      </c>
      <c r="B79" s="330" t="s">
        <v>1278</v>
      </c>
      <c r="C79" s="330" t="s">
        <v>1341</v>
      </c>
      <c r="D79" s="331" t="s">
        <v>1280</v>
      </c>
      <c r="E79" s="331" t="s">
        <v>1281</v>
      </c>
      <c r="F79" s="330"/>
      <c r="G79" s="331"/>
      <c r="H79" s="331"/>
      <c r="I79" s="332"/>
      <c r="J79" s="333"/>
      <c r="K79" s="333"/>
      <c r="L79" s="333"/>
      <c r="M79" s="334"/>
      <c r="N79" s="332"/>
      <c r="O79" s="333"/>
      <c r="P79" s="333"/>
      <c r="Q79" s="333"/>
      <c r="R79" s="334"/>
      <c r="S79" s="332"/>
      <c r="T79" s="333"/>
      <c r="U79" s="333"/>
      <c r="V79" s="333"/>
      <c r="W79" s="335"/>
      <c r="X79" s="332"/>
      <c r="Y79" s="333"/>
      <c r="Z79" s="333"/>
      <c r="AA79" s="333"/>
      <c r="AB79" s="335"/>
      <c r="AC79" s="349"/>
      <c r="AD79" s="333"/>
      <c r="AE79" s="333"/>
      <c r="AF79" s="333"/>
      <c r="AG79" s="335"/>
      <c r="AH79" s="349"/>
      <c r="AI79" s="333"/>
      <c r="AJ79" s="333"/>
      <c r="AK79" s="333"/>
      <c r="AL79" s="334"/>
      <c r="AM79" s="340"/>
      <c r="AN79" s="340"/>
      <c r="AO79" s="340"/>
      <c r="AP79" s="340"/>
      <c r="AQ79" s="340"/>
      <c r="AR79" s="340"/>
      <c r="AS79" s="340"/>
      <c r="AT79" s="340"/>
      <c r="AU79" s="340"/>
      <c r="AV79" s="340"/>
    </row>
    <row r="80" spans="1:48" hidden="1">
      <c r="A80" s="246">
        <v>12</v>
      </c>
      <c r="B80" s="246" t="s">
        <v>1232</v>
      </c>
      <c r="C80" s="246" t="s">
        <v>1339</v>
      </c>
      <c r="D80" s="246" t="s">
        <v>1280</v>
      </c>
      <c r="E80" s="246"/>
      <c r="F80" s="268"/>
      <c r="G80" s="246"/>
      <c r="H80" s="246"/>
      <c r="I80" s="296"/>
      <c r="J80" s="294"/>
      <c r="K80" s="294"/>
      <c r="L80" s="294"/>
      <c r="M80" s="312"/>
      <c r="N80" s="296"/>
      <c r="O80" s="294"/>
      <c r="P80" s="294"/>
      <c r="Q80" s="294"/>
      <c r="R80" s="312"/>
      <c r="S80" s="296"/>
      <c r="T80" s="294"/>
      <c r="U80" s="294"/>
      <c r="V80" s="294"/>
      <c r="W80" s="295"/>
      <c r="X80" s="296"/>
      <c r="Y80" s="294"/>
      <c r="Z80" s="294"/>
      <c r="AA80" s="294"/>
      <c r="AB80" s="295"/>
      <c r="AC80" s="292"/>
      <c r="AD80" s="294"/>
      <c r="AE80" s="294"/>
      <c r="AF80" s="294"/>
      <c r="AG80" s="295"/>
      <c r="AH80" s="292"/>
      <c r="AI80" s="294"/>
      <c r="AJ80" s="294"/>
      <c r="AK80" s="294"/>
      <c r="AL80" s="312"/>
      <c r="AM80" s="277"/>
      <c r="AN80" s="277"/>
      <c r="AO80" s="277"/>
      <c r="AP80" s="277"/>
      <c r="AQ80" s="277"/>
      <c r="AR80" s="277"/>
      <c r="AS80" s="277"/>
      <c r="AT80" s="277"/>
      <c r="AU80" s="277"/>
      <c r="AV80" s="277"/>
    </row>
    <row r="81" spans="1:48" hidden="1">
      <c r="A81" s="246">
        <v>12</v>
      </c>
      <c r="B81" s="246" t="s">
        <v>1232</v>
      </c>
      <c r="C81" s="246" t="s">
        <v>1335</v>
      </c>
      <c r="D81" s="246" t="s">
        <v>1280</v>
      </c>
      <c r="E81" s="246"/>
      <c r="F81" s="268"/>
      <c r="G81" s="246"/>
      <c r="H81" s="246"/>
      <c r="I81" s="296"/>
      <c r="J81" s="294"/>
      <c r="K81" s="294"/>
      <c r="L81" s="294"/>
      <c r="M81" s="312"/>
      <c r="N81" s="296"/>
      <c r="O81" s="294"/>
      <c r="P81" s="294"/>
      <c r="Q81" s="294"/>
      <c r="R81" s="312"/>
      <c r="S81" s="296"/>
      <c r="T81" s="294"/>
      <c r="U81" s="294"/>
      <c r="V81" s="294"/>
      <c r="W81" s="295"/>
      <c r="X81" s="296"/>
      <c r="Y81" s="294"/>
      <c r="Z81" s="294"/>
      <c r="AA81" s="294"/>
      <c r="AB81" s="295"/>
      <c r="AC81" s="292"/>
      <c r="AD81" s="294"/>
      <c r="AE81" s="294"/>
      <c r="AF81" s="294"/>
      <c r="AG81" s="295"/>
      <c r="AH81" s="292"/>
      <c r="AI81" s="294"/>
      <c r="AJ81" s="294"/>
      <c r="AK81" s="294"/>
      <c r="AL81" s="312"/>
      <c r="AM81" s="277"/>
      <c r="AN81" s="277"/>
      <c r="AO81" s="277"/>
      <c r="AP81" s="277"/>
      <c r="AQ81" s="277"/>
      <c r="AR81" s="277"/>
      <c r="AS81" s="277"/>
      <c r="AT81" s="277"/>
      <c r="AU81" s="277"/>
      <c r="AV81" s="277"/>
    </row>
    <row r="82" spans="1:48" hidden="1">
      <c r="A82" s="246">
        <v>12</v>
      </c>
      <c r="B82" s="246" t="s">
        <v>1232</v>
      </c>
      <c r="C82" s="246" t="s">
        <v>1342</v>
      </c>
      <c r="D82" s="246" t="s">
        <v>1280</v>
      </c>
      <c r="E82" s="246"/>
      <c r="F82" s="268"/>
      <c r="G82" s="246"/>
      <c r="H82" s="246"/>
      <c r="I82" s="296"/>
      <c r="J82" s="294"/>
      <c r="K82" s="294"/>
      <c r="L82" s="294"/>
      <c r="M82" s="312"/>
      <c r="N82" s="296"/>
      <c r="O82" s="294"/>
      <c r="P82" s="294"/>
      <c r="Q82" s="294"/>
      <c r="R82" s="312"/>
      <c r="S82" s="296"/>
      <c r="T82" s="294"/>
      <c r="U82" s="294"/>
      <c r="V82" s="294"/>
      <c r="W82" s="295"/>
      <c r="X82" s="296"/>
      <c r="Y82" s="294"/>
      <c r="Z82" s="294"/>
      <c r="AA82" s="294"/>
      <c r="AB82" s="295"/>
      <c r="AC82" s="292"/>
      <c r="AD82" s="294"/>
      <c r="AE82" s="294"/>
      <c r="AF82" s="294"/>
      <c r="AG82" s="295"/>
      <c r="AH82" s="292"/>
      <c r="AI82" s="294"/>
      <c r="AJ82" s="294"/>
      <c r="AK82" s="294"/>
      <c r="AL82" s="312"/>
      <c r="AM82" s="277"/>
      <c r="AN82" s="277"/>
      <c r="AO82" s="277"/>
      <c r="AP82" s="277"/>
      <c r="AQ82" s="277"/>
      <c r="AR82" s="277"/>
      <c r="AS82" s="277"/>
      <c r="AT82" s="277"/>
      <c r="AU82" s="277"/>
      <c r="AV82" s="277"/>
    </row>
    <row r="83" spans="1:48" hidden="1">
      <c r="A83" s="246">
        <v>12</v>
      </c>
      <c r="B83" s="246" t="s">
        <v>1232</v>
      </c>
      <c r="C83" s="246" t="s">
        <v>1343</v>
      </c>
      <c r="D83" s="246" t="s">
        <v>1280</v>
      </c>
      <c r="E83" s="246"/>
      <c r="F83" s="268"/>
      <c r="G83" s="246"/>
      <c r="H83" s="246"/>
      <c r="I83" s="296"/>
      <c r="J83" s="294"/>
      <c r="K83" s="294"/>
      <c r="L83" s="294"/>
      <c r="M83" s="312"/>
      <c r="N83" s="296"/>
      <c r="O83" s="294"/>
      <c r="P83" s="294"/>
      <c r="Q83" s="294"/>
      <c r="R83" s="312"/>
      <c r="S83" s="296"/>
      <c r="T83" s="294"/>
      <c r="U83" s="294"/>
      <c r="V83" s="294"/>
      <c r="W83" s="295"/>
      <c r="X83" s="296"/>
      <c r="Y83" s="294"/>
      <c r="Z83" s="294"/>
      <c r="AA83" s="294"/>
      <c r="AB83" s="295"/>
      <c r="AC83" s="292"/>
      <c r="AD83" s="294"/>
      <c r="AE83" s="294"/>
      <c r="AF83" s="294"/>
      <c r="AG83" s="295"/>
      <c r="AH83" s="292"/>
      <c r="AI83" s="294"/>
      <c r="AJ83" s="294"/>
      <c r="AK83" s="294"/>
      <c r="AL83" s="312"/>
      <c r="AM83" s="277"/>
      <c r="AN83" s="277"/>
      <c r="AO83" s="277"/>
      <c r="AP83" s="277"/>
      <c r="AQ83" s="277"/>
      <c r="AR83" s="277"/>
      <c r="AS83" s="277"/>
      <c r="AT83" s="277"/>
      <c r="AU83" s="277"/>
      <c r="AV83" s="277"/>
    </row>
  </sheetData>
  <mergeCells count="52">
    <mergeCell ref="AH1:AL1"/>
    <mergeCell ref="I1:M1"/>
    <mergeCell ref="N1:R1"/>
    <mergeCell ref="S1:W1"/>
    <mergeCell ref="X1:AB1"/>
    <mergeCell ref="AC1:AG1"/>
    <mergeCell ref="I3:R3"/>
    <mergeCell ref="S14:AB14"/>
    <mergeCell ref="AC21:AL21"/>
    <mergeCell ref="AO35:AP35"/>
    <mergeCell ref="AQ41:AR41"/>
    <mergeCell ref="AM1:AQ1"/>
    <mergeCell ref="AR1:AV1"/>
    <mergeCell ref="AW1:BA1"/>
    <mergeCell ref="BB1:BF1"/>
    <mergeCell ref="BE53:BF53"/>
    <mergeCell ref="AM28:AV28"/>
    <mergeCell ref="AW35:BF35"/>
    <mergeCell ref="BC48:BD48"/>
    <mergeCell ref="CK1:CO1"/>
    <mergeCell ref="CP1:CT1"/>
    <mergeCell ref="AW28:AX28"/>
    <mergeCell ref="BA41:BB41"/>
    <mergeCell ref="BG28:BH28"/>
    <mergeCell ref="BI35:BJ35"/>
    <mergeCell ref="BK41:BL41"/>
    <mergeCell ref="BG1:BK1"/>
    <mergeCell ref="BL1:BP1"/>
    <mergeCell ref="BQ1:BU1"/>
    <mergeCell ref="BV1:BZ1"/>
    <mergeCell ref="CA1:CE1"/>
    <mergeCell ref="CF1:CJ1"/>
    <mergeCell ref="CA28:CB28"/>
    <mergeCell ref="CC35:CD35"/>
    <mergeCell ref="BQ28:BU28"/>
    <mergeCell ref="BM48:BN48"/>
    <mergeCell ref="AS48:AT48"/>
    <mergeCell ref="BO53:BP53"/>
    <mergeCell ref="BS35:BT35"/>
    <mergeCell ref="AU53:AV53"/>
    <mergeCell ref="CK28:CL28"/>
    <mergeCell ref="BQ48:BZ48"/>
    <mergeCell ref="CA53:CJ53"/>
    <mergeCell ref="CE41:CF41"/>
    <mergeCell ref="CG48:CH48"/>
    <mergeCell ref="BU41:BV41"/>
    <mergeCell ref="BY53:BZ53"/>
    <mergeCell ref="CK58:CT58"/>
    <mergeCell ref="CM35:CN35"/>
    <mergeCell ref="CO41:CP41"/>
    <mergeCell ref="CQ48:CR48"/>
    <mergeCell ref="CS53:CT5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90D31-4215-429E-A3B4-F245FC6EA3AD}">
  <dimension ref="A1:AV82"/>
  <sheetViews>
    <sheetView topLeftCell="A4" workbookViewId="0">
      <selection activeCell="C26" sqref="C26"/>
    </sheetView>
  </sheetViews>
  <sheetFormatPr defaultRowHeight="15"/>
  <cols>
    <col min="3" max="3" width="61.42578125" customWidth="1"/>
    <col min="4" max="4" width="18" customWidth="1"/>
    <col min="5" max="5" width="11.42578125" customWidth="1"/>
    <col min="6" max="6" width="12.140625" customWidth="1"/>
  </cols>
  <sheetData>
    <row r="1" spans="1:48">
      <c r="A1" s="246"/>
      <c r="B1" s="246"/>
      <c r="C1" s="246"/>
      <c r="D1" s="246"/>
      <c r="E1" s="246"/>
      <c r="F1" s="246"/>
      <c r="G1" s="246"/>
      <c r="H1" s="246"/>
      <c r="I1" s="568" t="s">
        <v>1249</v>
      </c>
      <c r="J1" s="568"/>
      <c r="K1" s="568"/>
      <c r="L1" s="568"/>
      <c r="M1" s="568"/>
      <c r="N1" s="569" t="s">
        <v>1250</v>
      </c>
      <c r="O1" s="570"/>
      <c r="P1" s="570"/>
      <c r="Q1" s="570"/>
      <c r="R1" s="570"/>
      <c r="S1" s="569" t="s">
        <v>1251</v>
      </c>
      <c r="T1" s="570"/>
      <c r="U1" s="570"/>
      <c r="V1" s="570"/>
      <c r="W1" s="570"/>
      <c r="X1" s="569" t="s">
        <v>1252</v>
      </c>
      <c r="Y1" s="570"/>
      <c r="Z1" s="570"/>
      <c r="AA1" s="570"/>
      <c r="AB1" s="570"/>
      <c r="AC1" s="569" t="s">
        <v>1253</v>
      </c>
      <c r="AD1" s="570"/>
      <c r="AE1" s="570"/>
      <c r="AF1" s="570"/>
      <c r="AG1" s="570"/>
      <c r="AH1" s="570" t="s">
        <v>1254</v>
      </c>
      <c r="AI1" s="570"/>
      <c r="AJ1" s="570"/>
      <c r="AK1" s="570"/>
      <c r="AL1" s="570"/>
      <c r="AM1" s="246" t="s">
        <v>1211</v>
      </c>
      <c r="AN1" s="246" t="s">
        <v>1212</v>
      </c>
      <c r="AO1" s="246" t="s">
        <v>1213</v>
      </c>
      <c r="AP1" s="246" t="s">
        <v>1214</v>
      </c>
      <c r="AQ1" s="246" t="s">
        <v>1215</v>
      </c>
      <c r="AR1" s="246" t="s">
        <v>1216</v>
      </c>
      <c r="AS1" s="246" t="s">
        <v>1217</v>
      </c>
      <c r="AT1" s="246" t="s">
        <v>1218</v>
      </c>
      <c r="AU1" s="246" t="s">
        <v>1219</v>
      </c>
      <c r="AV1" s="246" t="s">
        <v>1220</v>
      </c>
    </row>
    <row r="2" spans="1:48" ht="39">
      <c r="A2" s="247" t="s">
        <v>365</v>
      </c>
      <c r="B2" s="247" t="s">
        <v>1267</v>
      </c>
      <c r="C2" s="247" t="s">
        <v>6</v>
      </c>
      <c r="D2" s="247" t="s">
        <v>1268</v>
      </c>
      <c r="E2" s="248" t="s">
        <v>1269</v>
      </c>
      <c r="F2" s="248" t="s">
        <v>1270</v>
      </c>
      <c r="G2" s="249" t="s">
        <v>1271</v>
      </c>
      <c r="H2" s="249" t="s">
        <v>1272</v>
      </c>
      <c r="I2" s="250" t="s">
        <v>1273</v>
      </c>
      <c r="J2" s="251" t="s">
        <v>1274</v>
      </c>
      <c r="K2" s="251" t="s">
        <v>1275</v>
      </c>
      <c r="L2" s="251" t="s">
        <v>1276</v>
      </c>
      <c r="M2" s="252" t="s">
        <v>1277</v>
      </c>
      <c r="N2" s="253" t="s">
        <v>1273</v>
      </c>
      <c r="O2" s="254" t="s">
        <v>1274</v>
      </c>
      <c r="P2" s="254" t="s">
        <v>1275</v>
      </c>
      <c r="Q2" s="254" t="s">
        <v>1276</v>
      </c>
      <c r="R2" s="255" t="s">
        <v>1277</v>
      </c>
      <c r="S2" s="253" t="s">
        <v>1273</v>
      </c>
      <c r="T2" s="254" t="s">
        <v>1274</v>
      </c>
      <c r="U2" s="254" t="s">
        <v>1275</v>
      </c>
      <c r="V2" s="254" t="s">
        <v>1276</v>
      </c>
      <c r="W2" s="256" t="s">
        <v>1277</v>
      </c>
      <c r="X2" s="253" t="s">
        <v>1273</v>
      </c>
      <c r="Y2" s="254" t="s">
        <v>1274</v>
      </c>
      <c r="Z2" s="254" t="s">
        <v>1275</v>
      </c>
      <c r="AA2" s="254" t="s">
        <v>1276</v>
      </c>
      <c r="AB2" s="256" t="s">
        <v>1277</v>
      </c>
      <c r="AC2" s="253" t="s">
        <v>1273</v>
      </c>
      <c r="AD2" s="254" t="s">
        <v>1274</v>
      </c>
      <c r="AE2" s="254" t="s">
        <v>1275</v>
      </c>
      <c r="AF2" s="254" t="s">
        <v>1276</v>
      </c>
      <c r="AG2" s="256" t="s">
        <v>1277</v>
      </c>
      <c r="AH2" s="257" t="s">
        <v>1273</v>
      </c>
      <c r="AI2" s="254" t="s">
        <v>1274</v>
      </c>
      <c r="AJ2" s="254" t="s">
        <v>1275</v>
      </c>
      <c r="AK2" s="254" t="s">
        <v>1276</v>
      </c>
      <c r="AL2" s="255" t="s">
        <v>1277</v>
      </c>
      <c r="AM2" s="254" t="s">
        <v>1369</v>
      </c>
      <c r="AN2" s="254" t="s">
        <v>1369</v>
      </c>
      <c r="AO2" s="254" t="s">
        <v>1369</v>
      </c>
      <c r="AP2" s="254" t="s">
        <v>1369</v>
      </c>
      <c r="AQ2" s="254" t="s">
        <v>1369</v>
      </c>
      <c r="AR2" s="254" t="s">
        <v>1369</v>
      </c>
      <c r="AS2" s="254" t="s">
        <v>1369</v>
      </c>
      <c r="AT2" s="254" t="s">
        <v>1369</v>
      </c>
      <c r="AU2" s="254" t="s">
        <v>1369</v>
      </c>
      <c r="AV2" s="254" t="s">
        <v>1369</v>
      </c>
    </row>
    <row r="3" spans="1:48">
      <c r="A3" s="258">
        <v>0</v>
      </c>
      <c r="B3" s="258" t="s">
        <v>1278</v>
      </c>
      <c r="C3" s="258" t="s">
        <v>1279</v>
      </c>
      <c r="D3" s="259" t="s">
        <v>1280</v>
      </c>
      <c r="E3" s="258" t="s">
        <v>1281</v>
      </c>
      <c r="F3" s="258" t="s">
        <v>1281</v>
      </c>
      <c r="G3" s="258"/>
      <c r="H3" s="260">
        <v>0</v>
      </c>
      <c r="I3" s="597" t="s">
        <v>1282</v>
      </c>
      <c r="J3" s="598"/>
      <c r="K3" s="598"/>
      <c r="L3" s="598"/>
      <c r="M3" s="598"/>
      <c r="N3" s="598"/>
      <c r="O3" s="598"/>
      <c r="P3" s="598"/>
      <c r="Q3" s="598"/>
      <c r="R3" s="598"/>
      <c r="S3" s="261"/>
      <c r="T3" s="262"/>
      <c r="U3" s="262"/>
      <c r="V3" s="262"/>
      <c r="W3" s="263"/>
      <c r="X3" s="264"/>
      <c r="Y3" s="262"/>
      <c r="Z3" s="262"/>
      <c r="AA3" s="262"/>
      <c r="AB3" s="263"/>
      <c r="AC3" s="264"/>
      <c r="AD3" s="262"/>
      <c r="AE3" s="262"/>
      <c r="AF3" s="262"/>
      <c r="AG3" s="263"/>
      <c r="AH3" s="261"/>
      <c r="AI3" s="262"/>
      <c r="AJ3" s="262"/>
      <c r="AK3" s="262"/>
      <c r="AL3" s="265"/>
      <c r="AM3" s="266"/>
      <c r="AN3" s="266"/>
      <c r="AO3" s="266"/>
      <c r="AP3" s="266"/>
      <c r="AQ3" s="266"/>
      <c r="AR3" s="266"/>
      <c r="AS3" s="266"/>
      <c r="AT3" s="266"/>
      <c r="AU3" s="266"/>
      <c r="AV3" s="266"/>
    </row>
    <row r="4" spans="1:48">
      <c r="A4" s="246">
        <v>0</v>
      </c>
      <c r="B4" s="246" t="s">
        <v>1232</v>
      </c>
      <c r="C4" s="246" t="s">
        <v>1283</v>
      </c>
      <c r="D4" s="246" t="s">
        <v>245</v>
      </c>
      <c r="E4" s="267"/>
      <c r="F4" s="246"/>
      <c r="G4" s="268"/>
      <c r="H4" s="269">
        <v>1</v>
      </c>
      <c r="I4" s="270"/>
      <c r="J4" s="271"/>
      <c r="K4" s="271"/>
      <c r="L4" s="271"/>
      <c r="M4" s="272"/>
      <c r="N4" s="273"/>
      <c r="O4" s="271"/>
      <c r="P4" s="271"/>
      <c r="Q4" s="271"/>
      <c r="R4" s="274"/>
      <c r="S4" s="275"/>
      <c r="T4" s="271"/>
      <c r="U4" s="271"/>
      <c r="V4" s="271"/>
      <c r="W4" s="276"/>
      <c r="X4" s="273"/>
      <c r="Y4" s="271"/>
      <c r="Z4" s="271"/>
      <c r="AA4" s="271"/>
      <c r="AB4" s="276"/>
      <c r="AC4" s="273"/>
      <c r="AD4" s="271"/>
      <c r="AE4" s="271"/>
      <c r="AF4" s="271"/>
      <c r="AG4" s="276"/>
      <c r="AH4" s="275"/>
      <c r="AI4" s="271"/>
      <c r="AJ4" s="271"/>
      <c r="AK4" s="271"/>
      <c r="AL4" s="272"/>
      <c r="AM4" s="277"/>
      <c r="AN4" s="277"/>
      <c r="AO4" s="277"/>
      <c r="AP4" s="277"/>
      <c r="AQ4" s="277"/>
      <c r="AR4" s="277"/>
      <c r="AS4" s="277"/>
      <c r="AT4" s="277"/>
      <c r="AU4" s="277"/>
      <c r="AV4" s="277"/>
    </row>
    <row r="5" spans="1:48">
      <c r="A5" s="246">
        <v>0</v>
      </c>
      <c r="B5" s="246" t="s">
        <v>1232</v>
      </c>
      <c r="C5" s="246" t="s">
        <v>1370</v>
      </c>
      <c r="D5" s="246" t="s">
        <v>245</v>
      </c>
      <c r="E5" s="246"/>
      <c r="F5" s="246"/>
      <c r="G5" s="268"/>
      <c r="H5" s="269">
        <v>1</v>
      </c>
      <c r="I5" s="270"/>
      <c r="J5" s="278"/>
      <c r="K5" s="278"/>
      <c r="L5" s="271"/>
      <c r="M5" s="272"/>
      <c r="N5" s="273"/>
      <c r="O5" s="271"/>
      <c r="P5" s="271"/>
      <c r="Q5" s="271"/>
      <c r="R5" s="274"/>
      <c r="S5" s="275"/>
      <c r="T5" s="271"/>
      <c r="U5" s="271"/>
      <c r="V5" s="271"/>
      <c r="W5" s="276"/>
      <c r="X5" s="273"/>
      <c r="Y5" s="271"/>
      <c r="Z5" s="271"/>
      <c r="AA5" s="271"/>
      <c r="AB5" s="276"/>
      <c r="AC5" s="273"/>
      <c r="AD5" s="271"/>
      <c r="AE5" s="271"/>
      <c r="AF5" s="271"/>
      <c r="AG5" s="276"/>
      <c r="AH5" s="275"/>
      <c r="AI5" s="271"/>
      <c r="AJ5" s="271"/>
      <c r="AK5" s="271"/>
      <c r="AL5" s="272"/>
      <c r="AM5" s="277"/>
      <c r="AN5" s="277"/>
      <c r="AO5" s="277"/>
      <c r="AP5" s="277"/>
      <c r="AQ5" s="277"/>
      <c r="AR5" s="277"/>
      <c r="AS5" s="277"/>
      <c r="AT5" s="277"/>
      <c r="AU5" s="277"/>
      <c r="AV5" s="277"/>
    </row>
    <row r="6" spans="1:48">
      <c r="A6" s="246">
        <v>0</v>
      </c>
      <c r="B6" s="246" t="s">
        <v>1232</v>
      </c>
      <c r="C6" s="246" t="s">
        <v>1371</v>
      </c>
      <c r="D6" s="246" t="s">
        <v>245</v>
      </c>
      <c r="E6" s="246"/>
      <c r="F6" s="246"/>
      <c r="G6" s="268"/>
      <c r="H6" s="269">
        <v>1</v>
      </c>
      <c r="I6" s="279"/>
      <c r="J6" s="278"/>
      <c r="K6" s="278"/>
      <c r="L6" s="278"/>
      <c r="M6" s="278"/>
      <c r="N6" s="278"/>
      <c r="O6" s="278"/>
      <c r="P6" s="271"/>
      <c r="Q6" s="271"/>
      <c r="R6" s="274"/>
      <c r="S6" s="275"/>
      <c r="T6" s="271"/>
      <c r="U6" s="271"/>
      <c r="V6" s="271"/>
      <c r="W6" s="276"/>
      <c r="X6" s="273"/>
      <c r="Y6" s="271"/>
      <c r="Z6" s="271"/>
      <c r="AA6" s="271"/>
      <c r="AB6" s="276"/>
      <c r="AC6" s="273"/>
      <c r="AD6" s="271"/>
      <c r="AE6" s="271"/>
      <c r="AF6" s="271"/>
      <c r="AG6" s="276"/>
      <c r="AH6" s="275"/>
      <c r="AI6" s="271"/>
      <c r="AJ6" s="271"/>
      <c r="AK6" s="271"/>
      <c r="AL6" s="272"/>
      <c r="AM6" s="277"/>
      <c r="AN6" s="277"/>
      <c r="AO6" s="277"/>
      <c r="AP6" s="277"/>
      <c r="AQ6" s="277"/>
      <c r="AR6" s="277"/>
      <c r="AS6" s="277"/>
      <c r="AT6" s="277"/>
      <c r="AU6" s="277"/>
      <c r="AV6" s="277"/>
    </row>
    <row r="7" spans="1:48">
      <c r="A7" s="246">
        <v>0</v>
      </c>
      <c r="B7" s="246" t="s">
        <v>1232</v>
      </c>
      <c r="C7" s="246" t="s">
        <v>1372</v>
      </c>
      <c r="D7" s="246" t="s">
        <v>245</v>
      </c>
      <c r="E7" s="246"/>
      <c r="F7" s="246"/>
      <c r="G7" s="268"/>
      <c r="H7" s="269">
        <v>0</v>
      </c>
      <c r="I7" s="279"/>
      <c r="J7" s="278"/>
      <c r="K7" s="278"/>
      <c r="L7" s="278"/>
      <c r="M7" s="272"/>
      <c r="N7" s="273"/>
      <c r="O7" s="271"/>
      <c r="P7" s="271"/>
      <c r="Q7" s="271"/>
      <c r="R7" s="274"/>
      <c r="S7" s="275"/>
      <c r="T7" s="271"/>
      <c r="U7" s="271"/>
      <c r="V7" s="271"/>
      <c r="W7" s="276"/>
      <c r="X7" s="273"/>
      <c r="Y7" s="271"/>
      <c r="Z7" s="271"/>
      <c r="AA7" s="271"/>
      <c r="AB7" s="276"/>
      <c r="AC7" s="273"/>
      <c r="AD7" s="271"/>
      <c r="AE7" s="271"/>
      <c r="AF7" s="271"/>
      <c r="AG7" s="276"/>
      <c r="AH7" s="275"/>
      <c r="AI7" s="271"/>
      <c r="AJ7" s="271"/>
      <c r="AK7" s="271"/>
      <c r="AL7" s="272"/>
      <c r="AM7" s="277"/>
      <c r="AN7" s="277"/>
      <c r="AO7" s="277"/>
      <c r="AP7" s="277"/>
      <c r="AQ7" s="277"/>
      <c r="AR7" s="277"/>
      <c r="AS7" s="277"/>
      <c r="AT7" s="277"/>
      <c r="AU7" s="277"/>
      <c r="AV7" s="277"/>
    </row>
    <row r="8" spans="1:48">
      <c r="A8" s="246">
        <v>0</v>
      </c>
      <c r="B8" s="246" t="s">
        <v>1232</v>
      </c>
      <c r="C8" s="246" t="s">
        <v>1373</v>
      </c>
      <c r="D8" s="246" t="s">
        <v>245</v>
      </c>
      <c r="E8" s="246"/>
      <c r="F8" s="246"/>
      <c r="G8" s="268"/>
      <c r="H8" s="269">
        <v>1</v>
      </c>
      <c r="I8" s="280"/>
      <c r="J8" s="281"/>
      <c r="K8" s="273"/>
      <c r="L8" s="278"/>
      <c r="M8" s="278"/>
      <c r="N8" s="278"/>
      <c r="O8" s="278"/>
      <c r="P8" s="271"/>
      <c r="Q8" s="271"/>
      <c r="R8" s="274"/>
      <c r="S8" s="282"/>
      <c r="T8" s="281"/>
      <c r="U8" s="271"/>
      <c r="V8" s="271"/>
      <c r="W8" s="276"/>
      <c r="X8" s="283"/>
      <c r="Y8" s="281"/>
      <c r="Z8" s="271"/>
      <c r="AA8" s="271"/>
      <c r="AB8" s="276"/>
      <c r="AC8" s="283"/>
      <c r="AD8" s="281"/>
      <c r="AE8" s="271"/>
      <c r="AF8" s="271"/>
      <c r="AG8" s="276"/>
      <c r="AH8" s="282"/>
      <c r="AI8" s="281"/>
      <c r="AJ8" s="271"/>
      <c r="AK8" s="271"/>
      <c r="AL8" s="272"/>
      <c r="AM8" s="277"/>
      <c r="AN8" s="277"/>
      <c r="AO8" s="277"/>
      <c r="AP8" s="277"/>
      <c r="AQ8" s="277"/>
      <c r="AR8" s="277"/>
      <c r="AS8" s="277"/>
      <c r="AT8" s="277"/>
      <c r="AU8" s="277"/>
      <c r="AV8" s="277"/>
    </row>
    <row r="9" spans="1:48">
      <c r="A9" s="246">
        <v>0</v>
      </c>
      <c r="B9" s="246" t="s">
        <v>1232</v>
      </c>
      <c r="C9" s="246" t="s">
        <v>1287</v>
      </c>
      <c r="D9" s="246" t="s">
        <v>1280</v>
      </c>
      <c r="E9" s="267"/>
      <c r="F9" s="246" t="s">
        <v>1281</v>
      </c>
      <c r="G9" s="268"/>
      <c r="H9" s="269">
        <v>0</v>
      </c>
      <c r="I9" s="270"/>
      <c r="J9" s="278"/>
      <c r="K9" s="278"/>
      <c r="L9" s="278"/>
      <c r="M9" s="278"/>
      <c r="N9" s="278"/>
      <c r="O9" s="278"/>
      <c r="P9" s="278"/>
      <c r="Q9" s="278"/>
      <c r="R9" s="284"/>
      <c r="S9" s="275"/>
      <c r="T9" s="281"/>
      <c r="U9" s="271"/>
      <c r="V9" s="271"/>
      <c r="W9" s="276"/>
      <c r="X9" s="273"/>
      <c r="Y9" s="281"/>
      <c r="Z9" s="271"/>
      <c r="AA9" s="271"/>
      <c r="AB9" s="276"/>
      <c r="AC9" s="273"/>
      <c r="AD9" s="281"/>
      <c r="AE9" s="271"/>
      <c r="AF9" s="271"/>
      <c r="AG9" s="276"/>
      <c r="AH9" s="275"/>
      <c r="AI9" s="281"/>
      <c r="AJ9" s="271"/>
      <c r="AK9" s="271"/>
      <c r="AL9" s="272"/>
      <c r="AM9" s="277"/>
      <c r="AN9" s="277"/>
      <c r="AO9" s="277"/>
      <c r="AP9" s="277"/>
      <c r="AQ9" s="277"/>
      <c r="AR9" s="277"/>
      <c r="AS9" s="277"/>
      <c r="AT9" s="277"/>
      <c r="AU9" s="277"/>
      <c r="AV9" s="277"/>
    </row>
    <row r="10" spans="1:48">
      <c r="A10" s="246">
        <v>0</v>
      </c>
      <c r="B10" s="246" t="s">
        <v>1232</v>
      </c>
      <c r="C10" s="246" t="s">
        <v>1374</v>
      </c>
      <c r="D10" s="246" t="s">
        <v>1285</v>
      </c>
      <c r="E10" s="267">
        <v>45978</v>
      </c>
      <c r="F10" s="267">
        <v>45996</v>
      </c>
      <c r="G10" s="268"/>
      <c r="H10" s="269">
        <v>0.8</v>
      </c>
      <c r="I10" s="280"/>
      <c r="J10" s="281"/>
      <c r="K10" s="278"/>
      <c r="L10" s="273"/>
      <c r="M10" s="272"/>
      <c r="N10" s="283"/>
      <c r="O10" s="281"/>
      <c r="P10" s="285"/>
      <c r="Q10" s="271"/>
      <c r="R10" s="274"/>
      <c r="S10" s="282"/>
      <c r="T10" s="281"/>
      <c r="U10" s="271"/>
      <c r="V10" s="271"/>
      <c r="W10" s="276"/>
      <c r="X10" s="283"/>
      <c r="Y10" s="281"/>
      <c r="Z10" s="271"/>
      <c r="AA10" s="271"/>
      <c r="AB10" s="276"/>
      <c r="AC10" s="283"/>
      <c r="AD10" s="281"/>
      <c r="AE10" s="271"/>
      <c r="AF10" s="271"/>
      <c r="AG10" s="276"/>
      <c r="AH10" s="282"/>
      <c r="AI10" s="281"/>
      <c r="AJ10" s="271"/>
      <c r="AK10" s="271"/>
      <c r="AL10" s="272"/>
      <c r="AM10" s="277"/>
      <c r="AN10" s="277"/>
      <c r="AO10" s="277"/>
      <c r="AP10" s="277"/>
      <c r="AQ10" s="277"/>
      <c r="AR10" s="277"/>
      <c r="AS10" s="277"/>
      <c r="AT10" s="277"/>
      <c r="AU10" s="277"/>
      <c r="AV10" s="277"/>
    </row>
    <row r="11" spans="1:48">
      <c r="A11" s="246">
        <v>0</v>
      </c>
      <c r="B11" s="246" t="s">
        <v>1232</v>
      </c>
      <c r="C11" s="246" t="s">
        <v>1288</v>
      </c>
      <c r="D11" s="246" t="s">
        <v>1280</v>
      </c>
      <c r="E11" s="246" t="s">
        <v>1281</v>
      </c>
      <c r="F11" s="246" t="s">
        <v>1281</v>
      </c>
      <c r="G11" s="268"/>
      <c r="H11" s="269">
        <v>0</v>
      </c>
      <c r="I11" s="280"/>
      <c r="J11" s="281"/>
      <c r="K11" s="271"/>
      <c r="L11" s="271"/>
      <c r="M11" s="278"/>
      <c r="N11" s="273"/>
      <c r="O11" s="273"/>
      <c r="P11" s="273"/>
      <c r="Q11" s="278"/>
      <c r="R11" s="274"/>
      <c r="S11" s="282"/>
      <c r="T11" s="281"/>
      <c r="U11" s="271"/>
      <c r="V11" s="271"/>
      <c r="W11" s="276"/>
      <c r="X11" s="283"/>
      <c r="Y11" s="281"/>
      <c r="Z11" s="271"/>
      <c r="AA11" s="271"/>
      <c r="AB11" s="276"/>
      <c r="AC11" s="283"/>
      <c r="AD11" s="281"/>
      <c r="AE11" s="271"/>
      <c r="AF11" s="271"/>
      <c r="AG11" s="276"/>
      <c r="AH11" s="282"/>
      <c r="AI11" s="281"/>
      <c r="AJ11" s="271"/>
      <c r="AK11" s="271"/>
      <c r="AL11" s="272"/>
      <c r="AM11" s="277"/>
      <c r="AN11" s="277"/>
      <c r="AO11" s="277"/>
      <c r="AP11" s="277"/>
      <c r="AQ11" s="277"/>
      <c r="AR11" s="277"/>
      <c r="AS11" s="277"/>
      <c r="AT11" s="277"/>
      <c r="AU11" s="277"/>
      <c r="AV11" s="277"/>
    </row>
    <row r="12" spans="1:48">
      <c r="A12" s="246">
        <v>0</v>
      </c>
      <c r="B12" s="246" t="s">
        <v>1232</v>
      </c>
      <c r="C12" s="246" t="s">
        <v>1291</v>
      </c>
      <c r="D12" s="246" t="s">
        <v>1280</v>
      </c>
      <c r="E12" s="246" t="s">
        <v>1281</v>
      </c>
      <c r="F12" s="246" t="s">
        <v>1281</v>
      </c>
      <c r="G12" s="268"/>
      <c r="H12" s="269">
        <v>0</v>
      </c>
      <c r="I12" s="286"/>
      <c r="J12" s="287"/>
      <c r="K12" s="288"/>
      <c r="L12" s="288"/>
      <c r="M12" s="289"/>
      <c r="N12" s="290"/>
      <c r="O12" s="287"/>
      <c r="P12" s="288"/>
      <c r="Q12" s="288"/>
      <c r="R12" s="291"/>
      <c r="S12" s="292"/>
      <c r="T12" s="293"/>
      <c r="U12" s="294"/>
      <c r="V12" s="294"/>
      <c r="W12" s="295"/>
      <c r="X12" s="296"/>
      <c r="Y12" s="293"/>
      <c r="Z12" s="294"/>
      <c r="AA12" s="294"/>
      <c r="AB12" s="295"/>
      <c r="AC12" s="283"/>
      <c r="AD12" s="281"/>
      <c r="AE12" s="271"/>
      <c r="AF12" s="271"/>
      <c r="AG12" s="276"/>
      <c r="AH12" s="282"/>
      <c r="AI12" s="281"/>
      <c r="AJ12" s="271"/>
      <c r="AK12" s="271"/>
      <c r="AL12" s="272"/>
      <c r="AM12" s="277"/>
      <c r="AN12" s="277"/>
      <c r="AO12" s="277"/>
      <c r="AP12" s="277"/>
      <c r="AQ12" s="277"/>
      <c r="AR12" s="277"/>
      <c r="AS12" s="277"/>
      <c r="AT12" s="277"/>
      <c r="AU12" s="277"/>
      <c r="AV12" s="277"/>
    </row>
    <row r="13" spans="1:48">
      <c r="A13" s="297">
        <v>1</v>
      </c>
      <c r="B13" s="297" t="s">
        <v>1278</v>
      </c>
      <c r="C13" s="297" t="s">
        <v>369</v>
      </c>
      <c r="D13" s="298" t="s">
        <v>1293</v>
      </c>
      <c r="E13" s="297" t="s">
        <v>1281</v>
      </c>
      <c r="F13" s="297" t="s">
        <v>1281</v>
      </c>
      <c r="G13" s="297"/>
      <c r="H13" s="299">
        <v>0</v>
      </c>
      <c r="I13" s="300"/>
      <c r="J13" s="301"/>
      <c r="K13" s="301"/>
      <c r="L13" s="301"/>
      <c r="M13" s="302"/>
      <c r="N13" s="300"/>
      <c r="O13" s="301"/>
      <c r="P13" s="301"/>
      <c r="Q13" s="301"/>
      <c r="R13" s="302"/>
      <c r="S13" s="599" t="s">
        <v>1294</v>
      </c>
      <c r="T13" s="600"/>
      <c r="U13" s="600"/>
      <c r="V13" s="600"/>
      <c r="W13" s="600"/>
      <c r="X13" s="600"/>
      <c r="Y13" s="600"/>
      <c r="Z13" s="600"/>
      <c r="AA13" s="600"/>
      <c r="AB13" s="600"/>
      <c r="AC13" s="303"/>
      <c r="AD13" s="304"/>
      <c r="AE13" s="304"/>
      <c r="AF13" s="304"/>
      <c r="AG13" s="305"/>
      <c r="AH13" s="303"/>
      <c r="AI13" s="304"/>
      <c r="AJ13" s="304"/>
      <c r="AK13" s="304"/>
      <c r="AL13" s="306"/>
      <c r="AM13" s="307"/>
      <c r="AN13" s="307"/>
      <c r="AO13" s="307"/>
      <c r="AP13" s="307"/>
      <c r="AQ13" s="307"/>
      <c r="AR13" s="307"/>
      <c r="AS13" s="307"/>
      <c r="AT13" s="307"/>
      <c r="AU13" s="307"/>
      <c r="AV13" s="307"/>
    </row>
    <row r="14" spans="1:48">
      <c r="A14" s="246">
        <v>1</v>
      </c>
      <c r="B14" s="246" t="s">
        <v>1232</v>
      </c>
      <c r="C14" t="s">
        <v>1344</v>
      </c>
      <c r="D14" t="s">
        <v>376</v>
      </c>
      <c r="E14" t="s">
        <v>1375</v>
      </c>
      <c r="F14" t="s">
        <v>1376</v>
      </c>
      <c r="G14">
        <v>9</v>
      </c>
      <c r="I14" s="283" t="s">
        <v>1377</v>
      </c>
      <c r="J14" s="271"/>
      <c r="K14" s="271"/>
      <c r="L14" s="271"/>
      <c r="M14" s="272"/>
      <c r="N14" s="283"/>
      <c r="O14" s="271"/>
      <c r="P14" s="271"/>
      <c r="Q14" s="271"/>
      <c r="R14" s="272"/>
      <c r="S14" s="308"/>
      <c r="T14" s="309"/>
      <c r="U14" s="309"/>
      <c r="V14" s="309"/>
      <c r="W14" s="309"/>
      <c r="X14" s="309"/>
      <c r="Y14" s="309"/>
      <c r="Z14" s="309"/>
      <c r="AA14" s="309"/>
      <c r="AB14" s="274"/>
      <c r="AC14" s="282"/>
      <c r="AD14" s="271"/>
      <c r="AE14" s="271"/>
      <c r="AF14" s="271"/>
      <c r="AG14" s="276"/>
      <c r="AH14" s="282"/>
      <c r="AI14" s="271"/>
      <c r="AJ14" s="271"/>
      <c r="AK14" s="271"/>
      <c r="AL14" s="272"/>
      <c r="AM14" s="277"/>
      <c r="AN14" s="277"/>
      <c r="AO14" s="277"/>
      <c r="AP14" s="277"/>
      <c r="AQ14" s="277"/>
      <c r="AR14" s="277"/>
      <c r="AS14" s="277"/>
      <c r="AT14" s="277"/>
      <c r="AU14" s="277"/>
      <c r="AV14" s="277"/>
    </row>
    <row r="15" spans="1:48">
      <c r="A15" s="246">
        <v>1</v>
      </c>
      <c r="B15" s="246" t="s">
        <v>1232</v>
      </c>
      <c r="C15" t="s">
        <v>1345</v>
      </c>
      <c r="D15" t="s">
        <v>376</v>
      </c>
      <c r="E15" t="s">
        <v>1375</v>
      </c>
      <c r="F15" t="s">
        <v>1376</v>
      </c>
      <c r="G15">
        <v>9</v>
      </c>
      <c r="I15" s="283"/>
      <c r="J15" s="271"/>
      <c r="K15" s="271"/>
      <c r="L15" s="271"/>
      <c r="M15" s="272"/>
      <c r="N15" s="283"/>
      <c r="O15" s="271"/>
      <c r="P15" s="271"/>
      <c r="Q15" s="271"/>
      <c r="R15" s="272"/>
      <c r="S15" s="308"/>
      <c r="T15" s="309"/>
      <c r="U15" s="309"/>
      <c r="V15" s="309"/>
      <c r="W15" s="309"/>
      <c r="X15" s="309"/>
      <c r="Y15" s="309"/>
      <c r="Z15" s="309"/>
      <c r="AA15" s="309"/>
      <c r="AB15" s="274"/>
      <c r="AC15" s="282"/>
      <c r="AD15" s="271"/>
      <c r="AE15" s="271"/>
      <c r="AF15" s="271"/>
      <c r="AG15" s="276"/>
      <c r="AH15" s="282"/>
      <c r="AI15" s="271"/>
      <c r="AJ15" s="271"/>
      <c r="AK15" s="271"/>
      <c r="AL15" s="272"/>
      <c r="AM15" s="277"/>
      <c r="AN15" s="277"/>
      <c r="AO15" s="277"/>
      <c r="AP15" s="277"/>
      <c r="AQ15" s="277"/>
      <c r="AR15" s="277"/>
      <c r="AS15" s="277"/>
      <c r="AT15" s="277"/>
      <c r="AU15" s="277"/>
      <c r="AV15" s="277"/>
    </row>
    <row r="16" spans="1:48">
      <c r="A16" s="246">
        <v>1</v>
      </c>
      <c r="B16" s="246" t="s">
        <v>1232</v>
      </c>
      <c r="C16" s="246" t="s">
        <v>1295</v>
      </c>
      <c r="D16" t="s">
        <v>376</v>
      </c>
      <c r="E16" t="s">
        <v>1375</v>
      </c>
      <c r="F16" s="246"/>
      <c r="G16" s="268">
        <v>3</v>
      </c>
      <c r="H16" s="269">
        <v>0</v>
      </c>
      <c r="I16" s="283"/>
      <c r="J16" s="271"/>
      <c r="K16" s="271"/>
      <c r="L16" s="271"/>
      <c r="M16" s="272"/>
      <c r="N16" s="283"/>
      <c r="O16" s="271"/>
      <c r="P16" s="271"/>
      <c r="Q16" s="271"/>
      <c r="R16" s="272"/>
      <c r="S16" s="309"/>
      <c r="T16" s="309"/>
      <c r="U16" s="309"/>
      <c r="V16" s="271"/>
      <c r="W16" s="271"/>
      <c r="X16" s="271"/>
      <c r="Y16" s="271"/>
      <c r="Z16" s="271"/>
      <c r="AA16" s="271"/>
      <c r="AB16" s="274"/>
      <c r="AC16" s="282"/>
      <c r="AD16" s="271"/>
      <c r="AE16" s="271"/>
      <c r="AF16" s="271"/>
      <c r="AG16" s="276"/>
      <c r="AH16" s="282"/>
      <c r="AI16" s="271"/>
      <c r="AJ16" s="271"/>
      <c r="AK16" s="271"/>
      <c r="AL16" s="272"/>
      <c r="AM16" s="277"/>
      <c r="AN16" s="277"/>
      <c r="AO16" s="277"/>
      <c r="AP16" s="277"/>
      <c r="AQ16" s="277"/>
      <c r="AR16" s="277"/>
      <c r="AS16" s="277"/>
      <c r="AT16" s="277"/>
      <c r="AU16" s="277"/>
      <c r="AV16" s="277"/>
    </row>
    <row r="17" spans="1:48">
      <c r="A17" s="246">
        <v>1</v>
      </c>
      <c r="B17" s="246" t="s">
        <v>1232</v>
      </c>
      <c r="C17" s="246" t="s">
        <v>1296</v>
      </c>
      <c r="D17" t="s">
        <v>376</v>
      </c>
      <c r="E17" t="s">
        <v>1375</v>
      </c>
      <c r="F17" s="246"/>
      <c r="G17" s="268">
        <v>3</v>
      </c>
      <c r="H17" s="269">
        <v>0</v>
      </c>
      <c r="I17" s="283"/>
      <c r="J17" s="271"/>
      <c r="K17" s="271"/>
      <c r="L17" s="271"/>
      <c r="M17" s="272"/>
      <c r="N17" s="283"/>
      <c r="O17" s="271"/>
      <c r="P17" s="271"/>
      <c r="Q17" s="271"/>
      <c r="R17" s="272"/>
      <c r="S17" s="280"/>
      <c r="T17" s="271"/>
      <c r="U17" s="271"/>
      <c r="V17" s="309"/>
      <c r="W17" s="309"/>
      <c r="X17" s="309"/>
      <c r="Y17" s="271"/>
      <c r="Z17" s="271"/>
      <c r="AA17" s="271"/>
      <c r="AB17" s="274"/>
      <c r="AC17" s="282"/>
      <c r="AD17" s="271"/>
      <c r="AE17" s="271"/>
      <c r="AF17" s="271"/>
      <c r="AG17" s="276"/>
      <c r="AH17" s="282"/>
      <c r="AI17" s="271"/>
      <c r="AJ17" s="271"/>
      <c r="AK17" s="271"/>
      <c r="AL17" s="272"/>
      <c r="AM17" s="277"/>
      <c r="AN17" s="277"/>
      <c r="AO17" s="277"/>
      <c r="AP17" s="277"/>
      <c r="AQ17" s="277"/>
      <c r="AR17" s="277"/>
      <c r="AS17" s="277"/>
      <c r="AT17" s="277"/>
      <c r="AU17" s="277"/>
      <c r="AV17" s="277"/>
    </row>
    <row r="18" spans="1:48">
      <c r="A18" s="246">
        <v>1</v>
      </c>
      <c r="B18" s="246" t="s">
        <v>1232</v>
      </c>
      <c r="C18" s="246" t="s">
        <v>1378</v>
      </c>
      <c r="D18" t="s">
        <v>376</v>
      </c>
      <c r="E18" t="s">
        <v>1375</v>
      </c>
      <c r="F18" s="246"/>
      <c r="G18" s="268">
        <v>3</v>
      </c>
      <c r="H18" s="269">
        <v>0</v>
      </c>
      <c r="I18" s="283"/>
      <c r="J18" s="271"/>
      <c r="K18" s="271"/>
      <c r="L18" s="271"/>
      <c r="M18" s="272"/>
      <c r="N18" s="283"/>
      <c r="O18" s="271"/>
      <c r="P18" s="271"/>
      <c r="Q18" s="271"/>
      <c r="R18" s="272"/>
      <c r="S18" s="280"/>
      <c r="T18" s="271"/>
      <c r="U18" s="271"/>
      <c r="V18" s="309"/>
      <c r="W18" s="309"/>
      <c r="X18" s="309"/>
      <c r="Y18" s="271"/>
      <c r="Z18" s="271"/>
      <c r="AA18" s="271"/>
      <c r="AB18" s="274"/>
      <c r="AC18" s="282"/>
      <c r="AD18" s="271"/>
      <c r="AE18" s="271"/>
      <c r="AF18" s="271"/>
      <c r="AG18" s="276"/>
      <c r="AH18" s="282"/>
      <c r="AI18" s="271"/>
      <c r="AJ18" s="271"/>
      <c r="AK18" s="271"/>
      <c r="AL18" s="272"/>
      <c r="AM18" s="277"/>
      <c r="AN18" s="277"/>
      <c r="AO18" s="277"/>
      <c r="AP18" s="277"/>
      <c r="AQ18" s="277"/>
      <c r="AR18" s="277"/>
      <c r="AS18" s="277"/>
      <c r="AT18" s="277"/>
      <c r="AU18" s="277"/>
      <c r="AV18" s="277"/>
    </row>
    <row r="19" spans="1:48">
      <c r="A19">
        <v>1</v>
      </c>
      <c r="B19" t="s">
        <v>1232</v>
      </c>
      <c r="C19" s="246" t="s">
        <v>59</v>
      </c>
      <c r="D19" t="s">
        <v>376</v>
      </c>
      <c r="E19" t="s">
        <v>1375</v>
      </c>
      <c r="F19" s="246"/>
      <c r="G19" s="268">
        <v>2</v>
      </c>
      <c r="H19" s="269">
        <v>0</v>
      </c>
      <c r="I19" s="283"/>
      <c r="J19" s="271"/>
      <c r="K19" s="271"/>
      <c r="L19" s="271"/>
      <c r="M19" s="272"/>
      <c r="N19" s="283"/>
      <c r="O19" s="271"/>
      <c r="P19" s="271"/>
      <c r="Q19" s="271"/>
      <c r="R19" s="272"/>
      <c r="S19" s="280"/>
      <c r="T19" s="271"/>
      <c r="U19" s="271"/>
      <c r="V19" s="271"/>
      <c r="W19" s="271"/>
      <c r="X19" s="271"/>
      <c r="Y19" s="309"/>
      <c r="Z19" s="309"/>
      <c r="AA19" s="271"/>
      <c r="AB19" s="274"/>
      <c r="AC19" s="282"/>
      <c r="AD19" s="271"/>
      <c r="AE19" s="271"/>
      <c r="AF19" s="271"/>
      <c r="AG19" s="276"/>
      <c r="AH19" s="282"/>
      <c r="AI19" s="271"/>
      <c r="AJ19" s="271"/>
      <c r="AK19" s="271"/>
      <c r="AL19" s="272"/>
      <c r="AM19" s="277"/>
      <c r="AN19" s="277"/>
      <c r="AO19" s="277"/>
      <c r="AP19" s="277"/>
      <c r="AQ19" s="277"/>
      <c r="AR19" s="277"/>
      <c r="AS19" s="277"/>
      <c r="AT19" s="277"/>
      <c r="AU19" s="277"/>
      <c r="AV19" s="277"/>
    </row>
    <row r="20" spans="1:48">
      <c r="A20" s="246">
        <v>1</v>
      </c>
      <c r="B20" s="246" t="s">
        <v>1232</v>
      </c>
      <c r="C20" s="246" t="s">
        <v>1346</v>
      </c>
      <c r="D20" s="246" t="s">
        <v>1280</v>
      </c>
      <c r="E20" s="246"/>
      <c r="F20" s="246"/>
      <c r="G20" s="268">
        <v>9</v>
      </c>
      <c r="H20" s="269">
        <v>0</v>
      </c>
      <c r="I20" s="283"/>
      <c r="J20" s="271"/>
      <c r="K20" s="271"/>
      <c r="L20" s="271"/>
      <c r="M20" s="272"/>
      <c r="N20" s="283"/>
      <c r="O20" s="271"/>
      <c r="P20" s="271"/>
      <c r="Q20" s="271"/>
      <c r="R20" s="272"/>
      <c r="S20" s="309"/>
      <c r="T20" s="309"/>
      <c r="U20" s="309"/>
      <c r="V20" s="309"/>
      <c r="W20" s="309"/>
      <c r="X20" s="309"/>
      <c r="Y20" s="309"/>
      <c r="Z20" s="309"/>
      <c r="AA20" s="309"/>
      <c r="AB20" s="274"/>
      <c r="AC20" s="282"/>
      <c r="AD20" s="271"/>
      <c r="AE20" s="271"/>
      <c r="AF20" s="271"/>
      <c r="AG20" s="276"/>
      <c r="AH20" s="282"/>
      <c r="AI20" s="271"/>
      <c r="AJ20" s="271"/>
      <c r="AK20" s="271"/>
      <c r="AL20" s="272"/>
      <c r="AM20" s="277"/>
      <c r="AN20" s="277"/>
      <c r="AO20" s="277"/>
      <c r="AP20" s="277"/>
      <c r="AQ20" s="277"/>
      <c r="AR20" s="277"/>
      <c r="AS20" s="277"/>
      <c r="AT20" s="277"/>
      <c r="AU20" s="277"/>
      <c r="AV20" s="277"/>
    </row>
    <row r="21" spans="1:48">
      <c r="A21" s="246">
        <v>1</v>
      </c>
      <c r="B21" s="246" t="s">
        <v>1232</v>
      </c>
      <c r="C21" s="246" t="s">
        <v>1300</v>
      </c>
      <c r="D21" s="246" t="s">
        <v>1280</v>
      </c>
      <c r="E21" s="246"/>
      <c r="F21" s="246"/>
      <c r="G21" s="268"/>
      <c r="H21" s="269">
        <v>0</v>
      </c>
      <c r="I21" s="283"/>
      <c r="J21" s="271"/>
      <c r="K21" s="271"/>
      <c r="L21" s="271"/>
      <c r="M21" s="272"/>
      <c r="N21" s="283"/>
      <c r="O21" s="271"/>
      <c r="P21" s="271"/>
      <c r="Q21" s="271"/>
      <c r="R21" s="272"/>
      <c r="S21" s="286"/>
      <c r="T21" s="288"/>
      <c r="U21" s="288"/>
      <c r="V21" s="288"/>
      <c r="W21" s="310"/>
      <c r="X21" s="290"/>
      <c r="Y21" s="288"/>
      <c r="Z21" s="288"/>
      <c r="AA21" s="288"/>
      <c r="AB21" s="311"/>
      <c r="AC21" s="292"/>
      <c r="AD21" s="294"/>
      <c r="AE21" s="294"/>
      <c r="AF21" s="294"/>
      <c r="AG21" s="295"/>
      <c r="AH21" s="292"/>
      <c r="AI21" s="294"/>
      <c r="AJ21" s="294"/>
      <c r="AK21" s="294"/>
      <c r="AL21" s="312"/>
      <c r="AM21" s="277"/>
      <c r="AN21" s="277"/>
      <c r="AO21" s="277"/>
      <c r="AP21" s="277"/>
      <c r="AQ21" s="277"/>
      <c r="AR21" s="277"/>
      <c r="AS21" s="277"/>
      <c r="AT21" s="277"/>
      <c r="AU21" s="277"/>
      <c r="AV21" s="277"/>
    </row>
    <row r="22" spans="1:48">
      <c r="A22" s="313">
        <v>2</v>
      </c>
      <c r="B22" s="313" t="s">
        <v>1278</v>
      </c>
      <c r="C22" s="313" t="s">
        <v>1379</v>
      </c>
      <c r="D22" s="314" t="s">
        <v>1280</v>
      </c>
      <c r="E22" s="331" t="s">
        <v>1281</v>
      </c>
      <c r="F22" s="313"/>
      <c r="G22" s="313"/>
      <c r="H22" s="315">
        <v>0</v>
      </c>
      <c r="I22" s="316"/>
      <c r="J22" s="317"/>
      <c r="K22" s="317"/>
      <c r="L22" s="317"/>
      <c r="M22" s="318"/>
      <c r="N22" s="316"/>
      <c r="O22" s="317"/>
      <c r="P22" s="317"/>
      <c r="Q22" s="317"/>
      <c r="R22" s="318"/>
      <c r="S22" s="319"/>
      <c r="T22" s="320"/>
      <c r="U22" s="320"/>
      <c r="V22" s="320"/>
      <c r="W22" s="321"/>
      <c r="X22" s="319"/>
      <c r="Y22" s="320"/>
      <c r="Z22" s="320"/>
      <c r="AA22" s="320"/>
      <c r="AB22" s="322"/>
      <c r="AC22" s="601" t="s">
        <v>1302</v>
      </c>
      <c r="AD22" s="602"/>
      <c r="AE22" s="602"/>
      <c r="AF22" s="602"/>
      <c r="AG22" s="602"/>
      <c r="AH22" s="602"/>
      <c r="AI22" s="602"/>
      <c r="AJ22" s="602"/>
      <c r="AK22" s="602"/>
      <c r="AL22" s="602"/>
      <c r="AM22" s="323"/>
      <c r="AN22" s="324"/>
      <c r="AO22" s="324"/>
      <c r="AP22" s="324"/>
      <c r="AQ22" s="324"/>
      <c r="AR22" s="324"/>
      <c r="AS22" s="324"/>
      <c r="AT22" s="324"/>
      <c r="AU22" s="324"/>
      <c r="AV22" s="324"/>
    </row>
    <row r="23" spans="1:48">
      <c r="A23" s="246">
        <v>2</v>
      </c>
      <c r="B23" s="246" t="s">
        <v>1232</v>
      </c>
      <c r="C23" s="246" t="s">
        <v>1380</v>
      </c>
      <c r="D23" s="246" t="s">
        <v>1280</v>
      </c>
      <c r="E23" s="267"/>
      <c r="F23" s="246"/>
      <c r="G23" s="268"/>
      <c r="H23" s="269">
        <v>0</v>
      </c>
      <c r="I23" s="283"/>
      <c r="J23" s="271"/>
      <c r="K23" s="271"/>
      <c r="L23" s="271"/>
      <c r="M23" s="272"/>
      <c r="N23" s="283"/>
      <c r="O23" s="271"/>
      <c r="P23" s="271"/>
      <c r="Q23" s="271"/>
      <c r="R23" s="272"/>
      <c r="S23" s="283"/>
      <c r="T23" s="271"/>
      <c r="U23" s="271"/>
      <c r="V23" s="271"/>
      <c r="W23" s="276"/>
      <c r="X23" s="283"/>
      <c r="Y23" s="271"/>
      <c r="Z23" s="271"/>
      <c r="AA23" s="271"/>
      <c r="AB23" s="272"/>
      <c r="AC23" s="325"/>
      <c r="AD23" s="326"/>
      <c r="AE23" s="271"/>
      <c r="AF23" s="271"/>
      <c r="AG23" s="276"/>
      <c r="AH23" s="282"/>
      <c r="AI23" s="271"/>
      <c r="AJ23" s="271"/>
      <c r="AK23" s="271"/>
      <c r="AL23" s="274"/>
      <c r="AM23" s="327"/>
      <c r="AN23" s="277"/>
      <c r="AO23" s="277"/>
      <c r="AP23" s="277"/>
      <c r="AQ23" s="277"/>
      <c r="AR23" s="277"/>
      <c r="AS23" s="277"/>
      <c r="AT23" s="277"/>
      <c r="AU23" s="277"/>
      <c r="AV23" s="277"/>
    </row>
    <row r="24" spans="1:48">
      <c r="A24" s="246">
        <v>2</v>
      </c>
      <c r="B24" s="246" t="s">
        <v>1232</v>
      </c>
      <c r="C24" s="246" t="s">
        <v>1381</v>
      </c>
      <c r="D24" s="246" t="s">
        <v>1280</v>
      </c>
      <c r="E24" s="267"/>
      <c r="F24" s="246"/>
      <c r="G24" s="268"/>
      <c r="H24" s="269">
        <v>0</v>
      </c>
      <c r="I24" s="283"/>
      <c r="J24" s="271"/>
      <c r="K24" s="271"/>
      <c r="L24" s="271"/>
      <c r="M24" s="272"/>
      <c r="N24" s="283"/>
      <c r="O24" s="271"/>
      <c r="P24" s="271"/>
      <c r="Q24" s="271"/>
      <c r="R24" s="272"/>
      <c r="S24" s="283"/>
      <c r="T24" s="271"/>
      <c r="U24" s="271"/>
      <c r="V24" s="271"/>
      <c r="W24" s="276"/>
      <c r="X24" s="283"/>
      <c r="Y24" s="271"/>
      <c r="Z24" s="271"/>
      <c r="AA24" s="271"/>
      <c r="AB24" s="272"/>
      <c r="AC24" s="280"/>
      <c r="AD24" s="326"/>
      <c r="AE24" s="326"/>
      <c r="AF24" s="326"/>
      <c r="AG24" s="326"/>
      <c r="AH24" s="326"/>
      <c r="AI24" s="271"/>
      <c r="AJ24" s="271"/>
      <c r="AK24" s="271"/>
      <c r="AL24" s="274"/>
      <c r="AM24" s="327"/>
      <c r="AN24" s="277"/>
      <c r="AO24" s="277"/>
      <c r="AP24" s="277"/>
      <c r="AQ24" s="277"/>
      <c r="AR24" s="277"/>
      <c r="AS24" s="277"/>
      <c r="AT24" s="277"/>
      <c r="AU24" s="277"/>
      <c r="AV24" s="277"/>
    </row>
    <row r="25" spans="1:48">
      <c r="A25" s="246">
        <v>2</v>
      </c>
      <c r="B25" s="246" t="s">
        <v>1232</v>
      </c>
      <c r="C25" s="246" t="s">
        <v>1382</v>
      </c>
      <c r="D25" s="246" t="s">
        <v>1280</v>
      </c>
      <c r="E25" s="267"/>
      <c r="F25" s="246"/>
      <c r="G25" s="268"/>
      <c r="H25" s="269">
        <v>0</v>
      </c>
      <c r="I25" s="283"/>
      <c r="J25" s="271"/>
      <c r="K25" s="271"/>
      <c r="L25" s="271"/>
      <c r="M25" s="272"/>
      <c r="N25" s="283"/>
      <c r="O25" s="271"/>
      <c r="P25" s="271"/>
      <c r="Q25" s="271"/>
      <c r="R25" s="272"/>
      <c r="S25" s="283"/>
      <c r="T25" s="271"/>
      <c r="U25" s="271"/>
      <c r="V25" s="271"/>
      <c r="W25" s="276"/>
      <c r="X25" s="283"/>
      <c r="Y25" s="271"/>
      <c r="Z25" s="271"/>
      <c r="AA25" s="271"/>
      <c r="AB25" s="272"/>
      <c r="AC25" s="280"/>
      <c r="AD25" s="326"/>
      <c r="AE25" s="326"/>
      <c r="AF25" s="271"/>
      <c r="AG25" s="271"/>
      <c r="AH25" s="271"/>
      <c r="AI25" s="271"/>
      <c r="AJ25" s="271"/>
      <c r="AK25" s="271"/>
      <c r="AL25" s="274"/>
      <c r="AM25" s="327"/>
      <c r="AN25" s="277"/>
      <c r="AO25" s="277"/>
      <c r="AP25" s="277"/>
      <c r="AQ25" s="277"/>
      <c r="AR25" s="277"/>
      <c r="AS25" s="277"/>
      <c r="AT25" s="277"/>
      <c r="AU25" s="277"/>
      <c r="AV25" s="277"/>
    </row>
    <row r="26" spans="1:48">
      <c r="A26" s="246">
        <v>2</v>
      </c>
      <c r="B26" s="246" t="s">
        <v>1232</v>
      </c>
      <c r="C26" s="246" t="s">
        <v>1383</v>
      </c>
      <c r="D26" s="246" t="s">
        <v>1280</v>
      </c>
      <c r="E26" s="267"/>
      <c r="F26" s="246"/>
      <c r="G26" s="268"/>
      <c r="H26" s="269">
        <v>0</v>
      </c>
      <c r="I26" s="283"/>
      <c r="J26" s="271"/>
      <c r="K26" s="271"/>
      <c r="L26" s="271"/>
      <c r="M26" s="272"/>
      <c r="N26" s="283"/>
      <c r="O26" s="271"/>
      <c r="P26" s="271"/>
      <c r="Q26" s="271"/>
      <c r="R26" s="272"/>
      <c r="S26" s="283"/>
      <c r="T26" s="271"/>
      <c r="U26" s="271"/>
      <c r="V26" s="271"/>
      <c r="W26" s="276"/>
      <c r="X26" s="283"/>
      <c r="Y26" s="271"/>
      <c r="Z26" s="271"/>
      <c r="AA26" s="271"/>
      <c r="AB26" s="272"/>
      <c r="AC26" s="280"/>
      <c r="AD26" s="271"/>
      <c r="AE26" s="271"/>
      <c r="AF26" s="326"/>
      <c r="AG26" s="326"/>
      <c r="AH26" s="326"/>
      <c r="AI26" s="326"/>
      <c r="AJ26" s="326"/>
      <c r="AK26" s="271"/>
      <c r="AL26" s="274"/>
      <c r="AM26" s="327"/>
      <c r="AN26" s="277"/>
      <c r="AO26" s="277"/>
      <c r="AP26" s="277"/>
      <c r="AQ26" s="277"/>
      <c r="AR26" s="277"/>
      <c r="AS26" s="277"/>
      <c r="AT26" s="277"/>
      <c r="AU26" s="277"/>
      <c r="AV26" s="277"/>
    </row>
    <row r="27" spans="1:48">
      <c r="A27" s="246">
        <v>2</v>
      </c>
      <c r="B27" s="246" t="s">
        <v>1232</v>
      </c>
      <c r="C27" s="246" t="s">
        <v>1307</v>
      </c>
      <c r="D27" s="246" t="s">
        <v>1280</v>
      </c>
      <c r="E27" s="267"/>
      <c r="F27" s="246"/>
      <c r="G27" s="268"/>
      <c r="H27" s="269">
        <v>0</v>
      </c>
      <c r="I27" s="283"/>
      <c r="J27" s="271"/>
      <c r="K27" s="271"/>
      <c r="L27" s="271"/>
      <c r="M27" s="272"/>
      <c r="N27" s="283"/>
      <c r="O27" s="271"/>
      <c r="P27" s="271"/>
      <c r="Q27" s="271"/>
      <c r="R27" s="272"/>
      <c r="S27" s="283"/>
      <c r="T27" s="271"/>
      <c r="U27" s="271"/>
      <c r="V27" s="271"/>
      <c r="W27" s="276"/>
      <c r="X27" s="283"/>
      <c r="Y27" s="271"/>
      <c r="Z27" s="271"/>
      <c r="AA27" s="271"/>
      <c r="AB27" s="272"/>
      <c r="AC27" s="280"/>
      <c r="AD27" s="271"/>
      <c r="AE27" s="271"/>
      <c r="AF27" s="271"/>
      <c r="AG27" s="326"/>
      <c r="AH27" s="326"/>
      <c r="AI27" s="326"/>
      <c r="AJ27" s="326"/>
      <c r="AK27" s="326"/>
      <c r="AL27" s="274"/>
      <c r="AM27" s="327"/>
      <c r="AN27" s="277"/>
      <c r="AO27" s="277"/>
      <c r="AP27" s="277"/>
      <c r="AQ27" s="277"/>
      <c r="AR27" s="277"/>
      <c r="AS27" s="277"/>
      <c r="AT27" s="277"/>
      <c r="AU27" s="277"/>
      <c r="AV27" s="277"/>
    </row>
    <row r="28" spans="1:48">
      <c r="A28" s="246">
        <v>2</v>
      </c>
      <c r="B28" s="246" t="s">
        <v>1232</v>
      </c>
      <c r="C28" s="246" t="s">
        <v>1308</v>
      </c>
      <c r="D28" s="246" t="s">
        <v>1280</v>
      </c>
      <c r="E28" s="267"/>
      <c r="F28" s="246"/>
      <c r="G28" s="268"/>
      <c r="H28" s="269">
        <v>0</v>
      </c>
      <c r="I28" s="296"/>
      <c r="J28" s="294"/>
      <c r="K28" s="294"/>
      <c r="L28" s="294"/>
      <c r="M28" s="312"/>
      <c r="N28" s="296"/>
      <c r="O28" s="294"/>
      <c r="P28" s="294"/>
      <c r="Q28" s="294"/>
      <c r="R28" s="312"/>
      <c r="S28" s="296"/>
      <c r="T28" s="294"/>
      <c r="U28" s="294"/>
      <c r="V28" s="294"/>
      <c r="W28" s="295"/>
      <c r="X28" s="296"/>
      <c r="Y28" s="294"/>
      <c r="Z28" s="294"/>
      <c r="AA28" s="294"/>
      <c r="AB28" s="312"/>
      <c r="AC28" s="286"/>
      <c r="AD28" s="288"/>
      <c r="AE28" s="288"/>
      <c r="AF28" s="288"/>
      <c r="AG28" s="310"/>
      <c r="AH28" s="328"/>
      <c r="AI28" s="288"/>
      <c r="AJ28" s="288"/>
      <c r="AK28" s="288"/>
      <c r="AL28" s="329"/>
      <c r="AM28" s="327"/>
      <c r="AN28" s="277"/>
      <c r="AO28" s="277"/>
      <c r="AP28" s="277"/>
      <c r="AQ28" s="277"/>
      <c r="AR28" s="277"/>
      <c r="AS28" s="277"/>
      <c r="AT28" s="277"/>
      <c r="AU28" s="277"/>
      <c r="AV28" s="277"/>
    </row>
    <row r="29" spans="1:48">
      <c r="A29" s="330">
        <v>3</v>
      </c>
      <c r="B29" s="330" t="s">
        <v>1278</v>
      </c>
      <c r="C29" s="313" t="s">
        <v>1384</v>
      </c>
      <c r="D29" s="331" t="s">
        <v>1280</v>
      </c>
      <c r="E29" s="331" t="s">
        <v>1281</v>
      </c>
      <c r="F29" s="330"/>
      <c r="G29" s="331"/>
      <c r="H29" s="331"/>
      <c r="I29" s="332"/>
      <c r="J29" s="333"/>
      <c r="K29" s="333"/>
      <c r="L29" s="333"/>
      <c r="M29" s="334"/>
      <c r="N29" s="332"/>
      <c r="O29" s="333"/>
      <c r="P29" s="333"/>
      <c r="Q29" s="333"/>
      <c r="R29" s="334"/>
      <c r="S29" s="332"/>
      <c r="T29" s="333"/>
      <c r="U29" s="333"/>
      <c r="V29" s="333"/>
      <c r="W29" s="335"/>
      <c r="X29" s="332"/>
      <c r="Y29" s="333"/>
      <c r="Z29" s="333"/>
      <c r="AA29" s="333"/>
      <c r="AB29" s="335"/>
      <c r="AC29" s="336"/>
      <c r="AD29" s="337"/>
      <c r="AE29" s="337"/>
      <c r="AF29" s="337"/>
      <c r="AG29" s="338"/>
      <c r="AH29" s="336"/>
      <c r="AI29" s="337"/>
      <c r="AJ29" s="337"/>
      <c r="AK29" s="337"/>
      <c r="AL29" s="339"/>
      <c r="AM29" s="603" t="s">
        <v>1310</v>
      </c>
      <c r="AN29" s="604"/>
      <c r="AO29" s="340"/>
      <c r="AP29" s="340"/>
      <c r="AQ29" s="340"/>
      <c r="AR29" s="340"/>
      <c r="AS29" s="340"/>
      <c r="AT29" s="340"/>
      <c r="AU29" s="340"/>
      <c r="AV29" s="340"/>
    </row>
    <row r="30" spans="1:48">
      <c r="A30" s="246">
        <v>3</v>
      </c>
      <c r="B30" s="246" t="s">
        <v>1232</v>
      </c>
      <c r="C30" s="246" t="s">
        <v>1355</v>
      </c>
      <c r="D30" s="246" t="s">
        <v>1280</v>
      </c>
      <c r="E30" s="246"/>
      <c r="F30" s="268"/>
      <c r="G30" s="246"/>
      <c r="H30" s="246"/>
      <c r="I30" s="296"/>
      <c r="J30" s="294"/>
      <c r="K30" s="294"/>
      <c r="L30" s="294"/>
      <c r="M30" s="312"/>
      <c r="N30" s="296"/>
      <c r="O30" s="294"/>
      <c r="P30" s="294"/>
      <c r="Q30" s="294"/>
      <c r="R30" s="312"/>
      <c r="S30" s="296"/>
      <c r="T30" s="294"/>
      <c r="U30" s="294"/>
      <c r="V30" s="294"/>
      <c r="W30" s="295"/>
      <c r="X30" s="296"/>
      <c r="Y30" s="294"/>
      <c r="Z30" s="294"/>
      <c r="AA30" s="294"/>
      <c r="AB30" s="295"/>
      <c r="AC30" s="292"/>
      <c r="AD30" s="294"/>
      <c r="AE30" s="294"/>
      <c r="AF30" s="294"/>
      <c r="AG30" s="295"/>
      <c r="AH30" s="292"/>
      <c r="AI30" s="294"/>
      <c r="AJ30" s="294"/>
      <c r="AK30" s="294"/>
      <c r="AL30" s="312"/>
      <c r="AM30" s="341"/>
      <c r="AN30" s="342"/>
      <c r="AO30" s="327"/>
      <c r="AP30" s="277"/>
      <c r="AQ30" s="277"/>
      <c r="AR30" s="277"/>
      <c r="AS30" s="277"/>
      <c r="AT30" s="277"/>
      <c r="AU30" s="277"/>
      <c r="AV30" s="277"/>
    </row>
    <row r="31" spans="1:48">
      <c r="A31" s="246">
        <v>3</v>
      </c>
      <c r="B31" s="246" t="s">
        <v>1232</v>
      </c>
      <c r="C31" s="246" t="s">
        <v>1385</v>
      </c>
      <c r="D31" s="246" t="s">
        <v>1280</v>
      </c>
      <c r="E31" s="246"/>
      <c r="F31" s="268"/>
      <c r="G31" s="246"/>
      <c r="H31" s="246"/>
      <c r="I31" s="296"/>
      <c r="J31" s="294"/>
      <c r="K31" s="294"/>
      <c r="L31" s="294"/>
      <c r="M31" s="312"/>
      <c r="N31" s="296"/>
      <c r="O31" s="294"/>
      <c r="P31" s="294"/>
      <c r="Q31" s="294"/>
      <c r="R31" s="312"/>
      <c r="S31" s="296"/>
      <c r="T31" s="294"/>
      <c r="U31" s="294"/>
      <c r="V31" s="294"/>
      <c r="W31" s="295"/>
      <c r="X31" s="296"/>
      <c r="Y31" s="294"/>
      <c r="Z31" s="294"/>
      <c r="AA31" s="294"/>
      <c r="AB31" s="295"/>
      <c r="AC31" s="292"/>
      <c r="AD31" s="294"/>
      <c r="AE31" s="294"/>
      <c r="AF31" s="294"/>
      <c r="AG31" s="295"/>
      <c r="AH31" s="292"/>
      <c r="AI31" s="294"/>
      <c r="AJ31" s="294"/>
      <c r="AK31" s="294"/>
      <c r="AL31" s="312"/>
      <c r="AM31" s="343"/>
      <c r="AN31" s="344"/>
      <c r="AO31" s="327"/>
      <c r="AP31" s="277"/>
      <c r="AQ31" s="277"/>
      <c r="AR31" s="277"/>
      <c r="AS31" s="277"/>
      <c r="AT31" s="277"/>
      <c r="AU31" s="277"/>
      <c r="AV31" s="277"/>
    </row>
    <row r="32" spans="1:48">
      <c r="A32" s="246">
        <v>3</v>
      </c>
      <c r="B32" s="246" t="s">
        <v>1232</v>
      </c>
      <c r="C32" s="246" t="s">
        <v>1386</v>
      </c>
      <c r="D32" s="246" t="s">
        <v>1280</v>
      </c>
      <c r="E32" s="246"/>
      <c r="F32" s="268"/>
      <c r="G32" s="246"/>
      <c r="H32" s="246"/>
      <c r="I32" s="296"/>
      <c r="J32" s="294"/>
      <c r="K32" s="294"/>
      <c r="L32" s="294"/>
      <c r="M32" s="312"/>
      <c r="N32" s="296"/>
      <c r="O32" s="294"/>
      <c r="P32" s="294"/>
      <c r="Q32" s="294"/>
      <c r="R32" s="312"/>
      <c r="S32" s="296"/>
      <c r="T32" s="294"/>
      <c r="U32" s="294"/>
      <c r="V32" s="294"/>
      <c r="W32" s="295"/>
      <c r="X32" s="296"/>
      <c r="Y32" s="294"/>
      <c r="Z32" s="294"/>
      <c r="AA32" s="294"/>
      <c r="AB32" s="295"/>
      <c r="AC32" s="292"/>
      <c r="AD32" s="294"/>
      <c r="AE32" s="294"/>
      <c r="AF32" s="294"/>
      <c r="AG32" s="295"/>
      <c r="AH32" s="292"/>
      <c r="AI32" s="294"/>
      <c r="AJ32" s="294"/>
      <c r="AK32" s="294"/>
      <c r="AL32" s="312"/>
      <c r="AM32" s="343"/>
      <c r="AN32" s="344"/>
      <c r="AO32" s="327"/>
      <c r="AP32" s="277"/>
      <c r="AQ32" s="277"/>
      <c r="AR32" s="277"/>
      <c r="AS32" s="277"/>
      <c r="AT32" s="277"/>
      <c r="AU32" s="277"/>
      <c r="AV32" s="277"/>
    </row>
    <row r="33" spans="1:48">
      <c r="A33" s="246">
        <v>3</v>
      </c>
      <c r="B33" s="246" t="s">
        <v>1232</v>
      </c>
      <c r="C33" s="246" t="s">
        <v>1307</v>
      </c>
      <c r="D33" s="246" t="s">
        <v>1280</v>
      </c>
      <c r="E33" s="246"/>
      <c r="F33" s="268"/>
      <c r="G33" s="246"/>
      <c r="H33" s="246"/>
      <c r="I33" s="296"/>
      <c r="J33" s="294"/>
      <c r="K33" s="294"/>
      <c r="L33" s="294"/>
      <c r="M33" s="312"/>
      <c r="N33" s="296"/>
      <c r="O33" s="294"/>
      <c r="P33" s="294"/>
      <c r="Q33" s="294"/>
      <c r="R33" s="312"/>
      <c r="S33" s="296"/>
      <c r="T33" s="294"/>
      <c r="U33" s="294"/>
      <c r="V33" s="294"/>
      <c r="W33" s="295"/>
      <c r="X33" s="296"/>
      <c r="Y33" s="294"/>
      <c r="Z33" s="294"/>
      <c r="AA33" s="294"/>
      <c r="AB33" s="295"/>
      <c r="AC33" s="292"/>
      <c r="AD33" s="294"/>
      <c r="AE33" s="294"/>
      <c r="AF33" s="294"/>
      <c r="AG33" s="295"/>
      <c r="AH33" s="292"/>
      <c r="AI33" s="294"/>
      <c r="AJ33" s="294"/>
      <c r="AK33" s="294"/>
      <c r="AL33" s="312"/>
      <c r="AM33" s="345"/>
      <c r="AN33" s="346"/>
      <c r="AO33" s="327"/>
      <c r="AP33" s="277"/>
      <c r="AQ33" s="277"/>
      <c r="AR33" s="277"/>
      <c r="AS33" s="277"/>
      <c r="AT33" s="277"/>
      <c r="AU33" s="277"/>
      <c r="AV33" s="277"/>
    </row>
    <row r="34" spans="1:48">
      <c r="A34" s="246">
        <v>3</v>
      </c>
      <c r="B34" s="246" t="s">
        <v>1232</v>
      </c>
      <c r="C34" s="246" t="s">
        <v>1315</v>
      </c>
      <c r="D34" s="246" t="s">
        <v>1280</v>
      </c>
      <c r="E34" s="246"/>
      <c r="F34" s="268"/>
      <c r="G34" s="246"/>
      <c r="H34" s="246"/>
      <c r="I34" s="296"/>
      <c r="J34" s="294"/>
      <c r="K34" s="294"/>
      <c r="L34" s="294"/>
      <c r="M34" s="312"/>
      <c r="N34" s="296"/>
      <c r="O34" s="294"/>
      <c r="P34" s="294"/>
      <c r="Q34" s="294"/>
      <c r="R34" s="312"/>
      <c r="S34" s="296"/>
      <c r="T34" s="294"/>
      <c r="U34" s="294"/>
      <c r="V34" s="294"/>
      <c r="W34" s="295"/>
      <c r="X34" s="296"/>
      <c r="Y34" s="294"/>
      <c r="Z34" s="294"/>
      <c r="AA34" s="294"/>
      <c r="AB34" s="295"/>
      <c r="AC34" s="292"/>
      <c r="AD34" s="294"/>
      <c r="AE34" s="294"/>
      <c r="AF34" s="294"/>
      <c r="AG34" s="295"/>
      <c r="AH34" s="292"/>
      <c r="AI34" s="294"/>
      <c r="AJ34" s="294"/>
      <c r="AK34" s="294"/>
      <c r="AL34" s="312"/>
      <c r="AM34" s="347"/>
      <c r="AN34" s="348"/>
      <c r="AO34" s="327"/>
      <c r="AP34" s="277"/>
      <c r="AQ34" s="277"/>
      <c r="AR34" s="277"/>
      <c r="AS34" s="277"/>
      <c r="AT34" s="277"/>
      <c r="AU34" s="277"/>
      <c r="AV34" s="277"/>
    </row>
    <row r="35" spans="1:48">
      <c r="A35" s="330">
        <v>4</v>
      </c>
      <c r="B35" s="330" t="s">
        <v>1278</v>
      </c>
      <c r="C35" s="330" t="s">
        <v>1387</v>
      </c>
      <c r="D35" s="331" t="s">
        <v>1280</v>
      </c>
      <c r="E35" s="331" t="s">
        <v>1281</v>
      </c>
      <c r="F35" s="330"/>
      <c r="G35" s="331"/>
      <c r="H35" s="331"/>
      <c r="I35" s="332"/>
      <c r="J35" s="333"/>
      <c r="K35" s="333"/>
      <c r="L35" s="333"/>
      <c r="M35" s="334"/>
      <c r="N35" s="332"/>
      <c r="O35" s="333"/>
      <c r="P35" s="333"/>
      <c r="Q35" s="333"/>
      <c r="R35" s="334"/>
      <c r="S35" s="332"/>
      <c r="T35" s="333"/>
      <c r="U35" s="333"/>
      <c r="V35" s="333"/>
      <c r="W35" s="335"/>
      <c r="X35" s="332"/>
      <c r="Y35" s="333"/>
      <c r="Z35" s="333"/>
      <c r="AA35" s="333"/>
      <c r="AB35" s="335"/>
      <c r="AC35" s="349"/>
      <c r="AD35" s="333"/>
      <c r="AE35" s="333"/>
      <c r="AF35" s="333"/>
      <c r="AG35" s="335"/>
      <c r="AH35" s="349"/>
      <c r="AI35" s="333"/>
      <c r="AJ35" s="333"/>
      <c r="AK35" s="333"/>
      <c r="AL35" s="334"/>
      <c r="AM35" s="350"/>
      <c r="AN35" s="350"/>
      <c r="AO35" s="603" t="s">
        <v>1317</v>
      </c>
      <c r="AP35" s="604"/>
      <c r="AQ35" s="340"/>
      <c r="AR35" s="340"/>
      <c r="AS35" s="340"/>
      <c r="AT35" s="340"/>
      <c r="AU35" s="340"/>
      <c r="AV35" s="340"/>
    </row>
    <row r="36" spans="1:48">
      <c r="A36" s="246">
        <v>4</v>
      </c>
      <c r="B36" s="246" t="s">
        <v>1232</v>
      </c>
      <c r="C36" s="358" t="s">
        <v>1388</v>
      </c>
      <c r="D36" s="246" t="s">
        <v>1280</v>
      </c>
      <c r="E36" s="246"/>
      <c r="F36" s="268"/>
      <c r="G36" s="246"/>
      <c r="H36" s="246"/>
      <c r="I36" s="296"/>
      <c r="J36" s="294"/>
      <c r="K36" s="294"/>
      <c r="L36" s="294"/>
      <c r="M36" s="312"/>
      <c r="N36" s="296"/>
      <c r="O36" s="294"/>
      <c r="P36" s="294"/>
      <c r="Q36" s="294"/>
      <c r="R36" s="312"/>
      <c r="S36" s="296"/>
      <c r="T36" s="294"/>
      <c r="U36" s="294"/>
      <c r="V36" s="294"/>
      <c r="W36" s="295"/>
      <c r="X36" s="296"/>
      <c r="Y36" s="294"/>
      <c r="Z36" s="294"/>
      <c r="AA36" s="294"/>
      <c r="AB36" s="295"/>
      <c r="AC36" s="292"/>
      <c r="AD36" s="294"/>
      <c r="AE36" s="294"/>
      <c r="AF36" s="294"/>
      <c r="AG36" s="295"/>
      <c r="AH36" s="292"/>
      <c r="AI36" s="294"/>
      <c r="AJ36" s="294"/>
      <c r="AK36" s="294"/>
      <c r="AL36" s="312"/>
      <c r="AM36" s="277"/>
      <c r="AN36" s="351"/>
      <c r="AO36" s="341"/>
      <c r="AP36" s="342"/>
      <c r="AQ36" s="327"/>
      <c r="AR36" s="277"/>
      <c r="AS36" s="277"/>
      <c r="AT36" s="277"/>
      <c r="AU36" s="277"/>
      <c r="AV36" s="277"/>
    </row>
    <row r="37" spans="1:48">
      <c r="A37" s="246">
        <v>4</v>
      </c>
      <c r="B37" s="246" t="s">
        <v>1232</v>
      </c>
      <c r="C37" s="246" t="s">
        <v>1389</v>
      </c>
      <c r="D37" s="246" t="s">
        <v>1280</v>
      </c>
      <c r="E37" s="246"/>
      <c r="F37" s="268"/>
      <c r="G37" s="246"/>
      <c r="H37" s="246"/>
      <c r="I37" s="296"/>
      <c r="J37" s="294"/>
      <c r="K37" s="294"/>
      <c r="L37" s="294"/>
      <c r="M37" s="312"/>
      <c r="N37" s="296"/>
      <c r="O37" s="294"/>
      <c r="P37" s="294"/>
      <c r="Q37" s="294"/>
      <c r="R37" s="312"/>
      <c r="S37" s="296"/>
      <c r="T37" s="294"/>
      <c r="U37" s="294"/>
      <c r="V37" s="294"/>
      <c r="W37" s="295"/>
      <c r="X37" s="296"/>
      <c r="Y37" s="294"/>
      <c r="Z37" s="294"/>
      <c r="AA37" s="294"/>
      <c r="AB37" s="295"/>
      <c r="AC37" s="292"/>
      <c r="AD37" s="294"/>
      <c r="AE37" s="294"/>
      <c r="AF37" s="294"/>
      <c r="AG37" s="295"/>
      <c r="AH37" s="292"/>
      <c r="AI37" s="294"/>
      <c r="AJ37" s="294"/>
      <c r="AK37" s="294"/>
      <c r="AL37" s="312"/>
      <c r="AM37" s="277"/>
      <c r="AN37" s="351"/>
      <c r="AO37" s="343"/>
      <c r="AP37" s="344"/>
      <c r="AQ37" s="327"/>
      <c r="AR37" s="277"/>
      <c r="AS37" s="277"/>
      <c r="AT37" s="277"/>
      <c r="AU37" s="277"/>
      <c r="AV37" s="277"/>
    </row>
    <row r="38" spans="1:48">
      <c r="A38" s="246">
        <v>4</v>
      </c>
      <c r="B38" s="246" t="s">
        <v>1232</v>
      </c>
      <c r="C38" s="246" t="s">
        <v>1346</v>
      </c>
      <c r="D38" s="246" t="s">
        <v>1280</v>
      </c>
      <c r="E38" s="246"/>
      <c r="F38" s="268"/>
      <c r="G38" s="246"/>
      <c r="H38" s="246"/>
      <c r="I38" s="296"/>
      <c r="J38" s="294"/>
      <c r="K38" s="294"/>
      <c r="L38" s="294"/>
      <c r="M38" s="312"/>
      <c r="N38" s="296"/>
      <c r="O38" s="294"/>
      <c r="P38" s="294"/>
      <c r="Q38" s="294"/>
      <c r="R38" s="312"/>
      <c r="S38" s="296"/>
      <c r="T38" s="294"/>
      <c r="U38" s="294"/>
      <c r="V38" s="294"/>
      <c r="W38" s="295"/>
      <c r="X38" s="296"/>
      <c r="Y38" s="294"/>
      <c r="Z38" s="294"/>
      <c r="AA38" s="294"/>
      <c r="AB38" s="295"/>
      <c r="AC38" s="292"/>
      <c r="AD38" s="294"/>
      <c r="AE38" s="294"/>
      <c r="AF38" s="294"/>
      <c r="AG38" s="295"/>
      <c r="AH38" s="292"/>
      <c r="AI38" s="294"/>
      <c r="AJ38" s="294"/>
      <c r="AK38" s="294"/>
      <c r="AL38" s="312"/>
      <c r="AM38" s="277"/>
      <c r="AN38" s="351"/>
      <c r="AO38" s="343"/>
      <c r="AP38" s="344"/>
      <c r="AQ38" s="327"/>
      <c r="AR38" s="277"/>
      <c r="AS38" s="277"/>
      <c r="AT38" s="277"/>
      <c r="AU38" s="277"/>
      <c r="AV38" s="277"/>
    </row>
    <row r="39" spans="1:48">
      <c r="A39" s="246">
        <v>4</v>
      </c>
      <c r="B39" s="246" t="s">
        <v>1232</v>
      </c>
      <c r="C39" s="246" t="s">
        <v>1307</v>
      </c>
      <c r="D39" s="246" t="s">
        <v>1280</v>
      </c>
      <c r="E39" s="246"/>
      <c r="F39" s="268"/>
      <c r="G39" s="246"/>
      <c r="H39" s="246"/>
      <c r="I39" s="296"/>
      <c r="J39" s="294"/>
      <c r="K39" s="294"/>
      <c r="L39" s="294"/>
      <c r="M39" s="312"/>
      <c r="N39" s="296"/>
      <c r="O39" s="294"/>
      <c r="P39" s="294"/>
      <c r="Q39" s="294"/>
      <c r="R39" s="312"/>
      <c r="S39" s="296"/>
      <c r="T39" s="294"/>
      <c r="U39" s="294"/>
      <c r="V39" s="294"/>
      <c r="W39" s="295"/>
      <c r="X39" s="296"/>
      <c r="Y39" s="294"/>
      <c r="Z39" s="294"/>
      <c r="AA39" s="294"/>
      <c r="AB39" s="295"/>
      <c r="AC39" s="292"/>
      <c r="AD39" s="294"/>
      <c r="AE39" s="294"/>
      <c r="AF39" s="294"/>
      <c r="AG39" s="295"/>
      <c r="AH39" s="292"/>
      <c r="AI39" s="294"/>
      <c r="AJ39" s="294"/>
      <c r="AK39" s="294"/>
      <c r="AL39" s="312"/>
      <c r="AM39" s="277"/>
      <c r="AN39" s="351"/>
      <c r="AO39" s="345"/>
      <c r="AP39" s="346"/>
      <c r="AQ39" s="327"/>
      <c r="AR39" s="277"/>
      <c r="AS39" s="277"/>
      <c r="AT39" s="277"/>
      <c r="AU39" s="277"/>
      <c r="AV39" s="277"/>
    </row>
    <row r="40" spans="1:48">
      <c r="A40" s="246">
        <v>4</v>
      </c>
      <c r="B40" s="246" t="s">
        <v>1232</v>
      </c>
      <c r="C40" s="246" t="s">
        <v>1320</v>
      </c>
      <c r="D40" s="246" t="s">
        <v>1280</v>
      </c>
      <c r="E40" s="246"/>
      <c r="F40" s="268"/>
      <c r="G40" s="246"/>
      <c r="H40" s="246"/>
      <c r="I40" s="296"/>
      <c r="J40" s="294"/>
      <c r="K40" s="294"/>
      <c r="L40" s="294"/>
      <c r="M40" s="312"/>
      <c r="N40" s="296"/>
      <c r="O40" s="294"/>
      <c r="P40" s="294"/>
      <c r="Q40" s="294"/>
      <c r="R40" s="312"/>
      <c r="S40" s="296"/>
      <c r="T40" s="294"/>
      <c r="U40" s="294"/>
      <c r="V40" s="294"/>
      <c r="W40" s="295"/>
      <c r="X40" s="296"/>
      <c r="Y40" s="294"/>
      <c r="Z40" s="294"/>
      <c r="AA40" s="294"/>
      <c r="AB40" s="295"/>
      <c r="AC40" s="292"/>
      <c r="AD40" s="294"/>
      <c r="AE40" s="294"/>
      <c r="AF40" s="294"/>
      <c r="AG40" s="295"/>
      <c r="AH40" s="292"/>
      <c r="AI40" s="294"/>
      <c r="AJ40" s="294"/>
      <c r="AK40" s="294"/>
      <c r="AL40" s="312"/>
      <c r="AM40" s="277"/>
      <c r="AN40" s="351"/>
      <c r="AO40" s="347"/>
      <c r="AP40" s="348"/>
      <c r="AQ40" s="327"/>
      <c r="AR40" s="277"/>
      <c r="AS40" s="277"/>
      <c r="AT40" s="277"/>
      <c r="AU40" s="277"/>
      <c r="AV40" s="277"/>
    </row>
    <row r="41" spans="1:48">
      <c r="A41" s="330">
        <v>5</v>
      </c>
      <c r="B41" s="330" t="s">
        <v>1278</v>
      </c>
      <c r="C41" s="330" t="s">
        <v>1390</v>
      </c>
      <c r="D41" s="331" t="s">
        <v>1280</v>
      </c>
      <c r="E41" s="331" t="s">
        <v>1281</v>
      </c>
      <c r="F41" s="330"/>
      <c r="G41" s="331"/>
      <c r="H41" s="331"/>
      <c r="I41" s="332"/>
      <c r="J41" s="333"/>
      <c r="K41" s="333"/>
      <c r="L41" s="333"/>
      <c r="M41" s="334"/>
      <c r="N41" s="332"/>
      <c r="O41" s="333"/>
      <c r="P41" s="333"/>
      <c r="Q41" s="333"/>
      <c r="R41" s="334"/>
      <c r="S41" s="332"/>
      <c r="T41" s="333"/>
      <c r="U41" s="333"/>
      <c r="V41" s="333"/>
      <c r="W41" s="335"/>
      <c r="X41" s="332"/>
      <c r="Y41" s="333"/>
      <c r="Z41" s="333"/>
      <c r="AA41" s="333"/>
      <c r="AB41" s="335"/>
      <c r="AC41" s="349"/>
      <c r="AD41" s="333"/>
      <c r="AE41" s="333"/>
      <c r="AF41" s="333"/>
      <c r="AG41" s="335"/>
      <c r="AH41" s="349"/>
      <c r="AI41" s="333"/>
      <c r="AJ41" s="333"/>
      <c r="AK41" s="333"/>
      <c r="AL41" s="334"/>
      <c r="AM41" s="340"/>
      <c r="AN41" s="340"/>
      <c r="AO41" s="350"/>
      <c r="AP41" s="350"/>
      <c r="AQ41" s="605" t="s">
        <v>1354</v>
      </c>
      <c r="AR41" s="606"/>
      <c r="AS41" s="340"/>
      <c r="AT41" s="340"/>
      <c r="AU41" s="340"/>
      <c r="AV41" s="340"/>
    </row>
    <row r="42" spans="1:48">
      <c r="A42" s="246">
        <v>5</v>
      </c>
      <c r="B42" s="246" t="s">
        <v>1232</v>
      </c>
      <c r="C42" s="246" t="s">
        <v>1355</v>
      </c>
      <c r="D42" s="246" t="s">
        <v>1280</v>
      </c>
      <c r="E42" s="246"/>
      <c r="F42" s="268"/>
      <c r="G42" s="246"/>
      <c r="H42" s="246"/>
      <c r="I42" s="296"/>
      <c r="J42" s="294"/>
      <c r="K42" s="294"/>
      <c r="L42" s="294"/>
      <c r="M42" s="312"/>
      <c r="N42" s="296"/>
      <c r="O42" s="294"/>
      <c r="P42" s="294"/>
      <c r="Q42" s="294"/>
      <c r="R42" s="312"/>
      <c r="S42" s="296"/>
      <c r="T42" s="294"/>
      <c r="U42" s="294"/>
      <c r="V42" s="294"/>
      <c r="W42" s="295"/>
      <c r="X42" s="296"/>
      <c r="Y42" s="294"/>
      <c r="Z42" s="294"/>
      <c r="AA42" s="294"/>
      <c r="AB42" s="295"/>
      <c r="AC42" s="292"/>
      <c r="AD42" s="294"/>
      <c r="AE42" s="294"/>
      <c r="AF42" s="294"/>
      <c r="AG42" s="295"/>
      <c r="AH42" s="292"/>
      <c r="AI42" s="294"/>
      <c r="AJ42" s="294"/>
      <c r="AK42" s="294"/>
      <c r="AL42" s="312"/>
      <c r="AM42" s="277"/>
      <c r="AN42" s="277"/>
      <c r="AO42" s="277"/>
      <c r="AP42" s="277"/>
      <c r="AQ42" s="341"/>
      <c r="AR42" s="342"/>
      <c r="AS42" s="277"/>
      <c r="AT42" s="277"/>
      <c r="AU42" s="277"/>
      <c r="AV42" s="277"/>
    </row>
    <row r="43" spans="1:48">
      <c r="A43" s="246">
        <v>5</v>
      </c>
      <c r="B43" s="246" t="s">
        <v>1232</v>
      </c>
      <c r="C43" s="246" t="s">
        <v>1390</v>
      </c>
      <c r="D43" s="246" t="s">
        <v>1280</v>
      </c>
      <c r="E43" s="246"/>
      <c r="F43" s="268"/>
      <c r="G43" s="246"/>
      <c r="H43" s="246"/>
      <c r="I43" s="296"/>
      <c r="J43" s="294"/>
      <c r="K43" s="294"/>
      <c r="L43" s="294"/>
      <c r="M43" s="312"/>
      <c r="N43" s="296"/>
      <c r="O43" s="294"/>
      <c r="P43" s="294"/>
      <c r="Q43" s="294"/>
      <c r="R43" s="312"/>
      <c r="S43" s="296"/>
      <c r="T43" s="294"/>
      <c r="U43" s="294"/>
      <c r="V43" s="294"/>
      <c r="W43" s="295"/>
      <c r="X43" s="296"/>
      <c r="Y43" s="294"/>
      <c r="Z43" s="294"/>
      <c r="AA43" s="294"/>
      <c r="AB43" s="295"/>
      <c r="AC43" s="292"/>
      <c r="AD43" s="294"/>
      <c r="AE43" s="294"/>
      <c r="AF43" s="294"/>
      <c r="AG43" s="295"/>
      <c r="AH43" s="292"/>
      <c r="AI43" s="294"/>
      <c r="AJ43" s="294"/>
      <c r="AK43" s="294"/>
      <c r="AL43" s="312"/>
      <c r="AM43" s="277"/>
      <c r="AN43" s="277"/>
      <c r="AO43" s="277"/>
      <c r="AP43" s="277"/>
      <c r="AQ43" s="343"/>
      <c r="AR43" s="344"/>
      <c r="AS43" s="277"/>
      <c r="AT43" s="277"/>
      <c r="AU43" s="277"/>
      <c r="AV43" s="277"/>
    </row>
    <row r="44" spans="1:48">
      <c r="A44" s="246">
        <v>5</v>
      </c>
      <c r="B44" s="246" t="s">
        <v>1232</v>
      </c>
      <c r="C44" s="246" t="s">
        <v>1391</v>
      </c>
      <c r="D44" s="246" t="s">
        <v>1280</v>
      </c>
      <c r="E44" s="246"/>
      <c r="F44" s="268"/>
      <c r="G44" s="246"/>
      <c r="H44" s="246"/>
      <c r="I44" s="296"/>
      <c r="J44" s="294"/>
      <c r="K44" s="294"/>
      <c r="L44" s="294"/>
      <c r="M44" s="312"/>
      <c r="N44" s="296"/>
      <c r="O44" s="294"/>
      <c r="P44" s="294"/>
      <c r="Q44" s="294"/>
      <c r="R44" s="312"/>
      <c r="S44" s="296"/>
      <c r="T44" s="294"/>
      <c r="U44" s="294"/>
      <c r="V44" s="294"/>
      <c r="W44" s="295"/>
      <c r="X44" s="296"/>
      <c r="Y44" s="294"/>
      <c r="Z44" s="294"/>
      <c r="AA44" s="294"/>
      <c r="AB44" s="295"/>
      <c r="AC44" s="292"/>
      <c r="AD44" s="294"/>
      <c r="AE44" s="294"/>
      <c r="AF44" s="294"/>
      <c r="AG44" s="295"/>
      <c r="AH44" s="292"/>
      <c r="AI44" s="294"/>
      <c r="AJ44" s="294"/>
      <c r="AK44" s="294"/>
      <c r="AL44" s="312"/>
      <c r="AM44" s="277"/>
      <c r="AN44" s="277"/>
      <c r="AO44" s="277"/>
      <c r="AP44" s="277"/>
      <c r="AQ44" s="343"/>
      <c r="AR44" s="344"/>
      <c r="AS44" s="277"/>
      <c r="AT44" s="277"/>
      <c r="AU44" s="277"/>
      <c r="AV44" s="277"/>
    </row>
    <row r="45" spans="1:48">
      <c r="A45" s="246">
        <v>5</v>
      </c>
      <c r="B45" s="246" t="s">
        <v>1232</v>
      </c>
      <c r="C45" s="246" t="s">
        <v>1307</v>
      </c>
      <c r="D45" s="246" t="s">
        <v>1280</v>
      </c>
      <c r="E45" s="246"/>
      <c r="F45" s="268"/>
      <c r="G45" s="246"/>
      <c r="H45" s="246"/>
      <c r="I45" s="296"/>
      <c r="J45" s="294"/>
      <c r="K45" s="294"/>
      <c r="L45" s="294"/>
      <c r="M45" s="312"/>
      <c r="N45" s="296"/>
      <c r="O45" s="294"/>
      <c r="P45" s="294"/>
      <c r="Q45" s="294"/>
      <c r="R45" s="312"/>
      <c r="S45" s="296"/>
      <c r="T45" s="294"/>
      <c r="U45" s="294"/>
      <c r="V45" s="294"/>
      <c r="W45" s="295"/>
      <c r="X45" s="296"/>
      <c r="Y45" s="294"/>
      <c r="Z45" s="294"/>
      <c r="AA45" s="294"/>
      <c r="AB45" s="295"/>
      <c r="AC45" s="292"/>
      <c r="AD45" s="294"/>
      <c r="AE45" s="294"/>
      <c r="AF45" s="294"/>
      <c r="AG45" s="295"/>
      <c r="AH45" s="292"/>
      <c r="AI45" s="294"/>
      <c r="AJ45" s="294"/>
      <c r="AK45" s="294"/>
      <c r="AL45" s="312"/>
      <c r="AM45" s="277"/>
      <c r="AN45" s="277"/>
      <c r="AO45" s="277"/>
      <c r="AP45" s="277"/>
      <c r="AQ45" s="345"/>
      <c r="AR45" s="346"/>
      <c r="AS45" s="277"/>
      <c r="AT45" s="277"/>
      <c r="AU45" s="277"/>
      <c r="AV45" s="277"/>
    </row>
    <row r="46" spans="1:48">
      <c r="A46" s="246">
        <v>5</v>
      </c>
      <c r="B46" s="246" t="s">
        <v>1232</v>
      </c>
      <c r="C46" s="246" t="s">
        <v>1357</v>
      </c>
      <c r="D46" s="246" t="s">
        <v>1280</v>
      </c>
      <c r="E46" s="246"/>
      <c r="F46" s="268"/>
      <c r="G46" s="246"/>
      <c r="H46" s="246"/>
      <c r="I46" s="296"/>
      <c r="J46" s="294"/>
      <c r="K46" s="294"/>
      <c r="L46" s="294"/>
      <c r="M46" s="312"/>
      <c r="N46" s="296"/>
      <c r="O46" s="294"/>
      <c r="P46" s="294"/>
      <c r="Q46" s="294"/>
      <c r="R46" s="312"/>
      <c r="S46" s="296"/>
      <c r="T46" s="294"/>
      <c r="U46" s="294"/>
      <c r="V46" s="294"/>
      <c r="W46" s="295"/>
      <c r="X46" s="296"/>
      <c r="Y46" s="294"/>
      <c r="Z46" s="294"/>
      <c r="AA46" s="294"/>
      <c r="AB46" s="295"/>
      <c r="AC46" s="292"/>
      <c r="AD46" s="294"/>
      <c r="AE46" s="294"/>
      <c r="AF46" s="294"/>
      <c r="AG46" s="295"/>
      <c r="AH46" s="292"/>
      <c r="AI46" s="294"/>
      <c r="AJ46" s="294"/>
      <c r="AK46" s="294"/>
      <c r="AL46" s="312"/>
      <c r="AM46" s="277"/>
      <c r="AN46" s="277"/>
      <c r="AO46" s="277"/>
      <c r="AP46" s="277"/>
      <c r="AQ46" s="347"/>
      <c r="AR46" s="348"/>
      <c r="AS46" s="277"/>
      <c r="AT46" s="277"/>
      <c r="AU46" s="277"/>
      <c r="AV46" s="277"/>
    </row>
    <row r="47" spans="1:48">
      <c r="A47" s="330">
        <v>6</v>
      </c>
      <c r="B47" s="330" t="s">
        <v>1278</v>
      </c>
      <c r="C47" s="330" t="s">
        <v>1358</v>
      </c>
      <c r="D47" s="331" t="s">
        <v>1280</v>
      </c>
      <c r="E47" s="331" t="s">
        <v>1281</v>
      </c>
      <c r="F47" s="330"/>
      <c r="G47" s="331"/>
      <c r="H47" s="331"/>
      <c r="I47" s="332"/>
      <c r="J47" s="333"/>
      <c r="K47" s="333"/>
      <c r="L47" s="333"/>
      <c r="M47" s="334"/>
      <c r="N47" s="332"/>
      <c r="O47" s="333"/>
      <c r="P47" s="333"/>
      <c r="Q47" s="333"/>
      <c r="R47" s="334"/>
      <c r="S47" s="332"/>
      <c r="T47" s="333"/>
      <c r="U47" s="333"/>
      <c r="V47" s="333"/>
      <c r="W47" s="335"/>
      <c r="X47" s="332"/>
      <c r="Y47" s="333"/>
      <c r="Z47" s="333"/>
      <c r="AA47" s="333"/>
      <c r="AB47" s="335"/>
      <c r="AC47" s="349"/>
      <c r="AD47" s="333"/>
      <c r="AE47" s="333"/>
      <c r="AF47" s="333"/>
      <c r="AG47" s="335"/>
      <c r="AH47" s="349"/>
      <c r="AI47" s="333"/>
      <c r="AJ47" s="333"/>
      <c r="AK47" s="333"/>
      <c r="AL47" s="334"/>
      <c r="AM47" s="340"/>
      <c r="AN47" s="340"/>
      <c r="AO47" s="340"/>
      <c r="AP47" s="340"/>
      <c r="AQ47" s="340"/>
      <c r="AR47" s="340"/>
      <c r="AS47" s="603" t="s">
        <v>1359</v>
      </c>
      <c r="AT47" s="604"/>
      <c r="AU47" s="340"/>
      <c r="AV47" s="340"/>
    </row>
    <row r="48" spans="1:48">
      <c r="A48" s="246">
        <v>6</v>
      </c>
      <c r="B48" s="246" t="s">
        <v>1232</v>
      </c>
      <c r="C48" s="246" t="s">
        <v>1392</v>
      </c>
      <c r="D48" s="246" t="s">
        <v>1280</v>
      </c>
      <c r="E48" s="246"/>
      <c r="F48" s="268"/>
      <c r="G48" s="246"/>
      <c r="H48" s="246"/>
      <c r="I48" s="296"/>
      <c r="J48" s="294"/>
      <c r="K48" s="294"/>
      <c r="L48" s="294"/>
      <c r="M48" s="312"/>
      <c r="N48" s="296"/>
      <c r="O48" s="294"/>
      <c r="P48" s="294"/>
      <c r="Q48" s="294"/>
      <c r="R48" s="312"/>
      <c r="S48" s="296"/>
      <c r="T48" s="294"/>
      <c r="U48" s="294"/>
      <c r="V48" s="294"/>
      <c r="W48" s="295"/>
      <c r="X48" s="296"/>
      <c r="Y48" s="294"/>
      <c r="Z48" s="294"/>
      <c r="AA48" s="294"/>
      <c r="AB48" s="295"/>
      <c r="AC48" s="292"/>
      <c r="AD48" s="294"/>
      <c r="AE48" s="294"/>
      <c r="AF48" s="294"/>
      <c r="AG48" s="295"/>
      <c r="AH48" s="292"/>
      <c r="AI48" s="294"/>
      <c r="AJ48" s="294"/>
      <c r="AK48" s="294"/>
      <c r="AL48" s="312"/>
      <c r="AM48" s="277"/>
      <c r="AN48" s="277"/>
      <c r="AO48" s="277"/>
      <c r="AP48" s="277"/>
      <c r="AQ48" s="277"/>
      <c r="AR48" s="351"/>
      <c r="AS48" s="341"/>
      <c r="AT48" s="342"/>
      <c r="AU48" s="327"/>
      <c r="AV48" s="277"/>
    </row>
    <row r="49" spans="1:48">
      <c r="A49" s="246">
        <v>6</v>
      </c>
      <c r="B49" s="246" t="s">
        <v>1232</v>
      </c>
      <c r="C49" s="246" t="s">
        <v>1393</v>
      </c>
      <c r="D49" s="246" t="s">
        <v>1280</v>
      </c>
      <c r="E49" s="246"/>
      <c r="F49" s="268"/>
      <c r="G49" s="246"/>
      <c r="H49" s="246"/>
      <c r="I49" s="296"/>
      <c r="J49" s="294"/>
      <c r="K49" s="294"/>
      <c r="L49" s="294"/>
      <c r="M49" s="312"/>
      <c r="N49" s="296"/>
      <c r="O49" s="294"/>
      <c r="P49" s="294"/>
      <c r="Q49" s="294"/>
      <c r="R49" s="312"/>
      <c r="S49" s="296"/>
      <c r="T49" s="294"/>
      <c r="U49" s="294"/>
      <c r="V49" s="294"/>
      <c r="W49" s="295"/>
      <c r="X49" s="296"/>
      <c r="Y49" s="294"/>
      <c r="Z49" s="294"/>
      <c r="AA49" s="294"/>
      <c r="AB49" s="295"/>
      <c r="AC49" s="292"/>
      <c r="AD49" s="294"/>
      <c r="AE49" s="294"/>
      <c r="AF49" s="294"/>
      <c r="AG49" s="295"/>
      <c r="AH49" s="292"/>
      <c r="AI49" s="294"/>
      <c r="AJ49" s="294"/>
      <c r="AK49" s="294"/>
      <c r="AL49" s="312"/>
      <c r="AM49" s="277"/>
      <c r="AN49" s="277"/>
      <c r="AO49" s="277"/>
      <c r="AP49" s="277"/>
      <c r="AQ49" s="277"/>
      <c r="AR49" s="351"/>
      <c r="AS49" s="343"/>
      <c r="AT49" s="344"/>
      <c r="AU49" s="327"/>
      <c r="AV49" s="277"/>
    </row>
    <row r="50" spans="1:48">
      <c r="A50" s="246">
        <v>6</v>
      </c>
      <c r="B50" s="246" t="s">
        <v>1232</v>
      </c>
      <c r="C50" s="246" t="s">
        <v>1394</v>
      </c>
      <c r="D50" s="246" t="s">
        <v>1280</v>
      </c>
      <c r="E50" s="246"/>
      <c r="F50" s="268"/>
      <c r="G50" s="246"/>
      <c r="H50" s="246"/>
      <c r="I50" s="296"/>
      <c r="J50" s="294"/>
      <c r="K50" s="294"/>
      <c r="L50" s="294"/>
      <c r="M50" s="312"/>
      <c r="N50" s="296"/>
      <c r="O50" s="294"/>
      <c r="P50" s="294"/>
      <c r="Q50" s="294"/>
      <c r="R50" s="312"/>
      <c r="S50" s="296"/>
      <c r="T50" s="294"/>
      <c r="U50" s="294"/>
      <c r="V50" s="294"/>
      <c r="W50" s="295"/>
      <c r="X50" s="296"/>
      <c r="Y50" s="294"/>
      <c r="Z50" s="294"/>
      <c r="AA50" s="294"/>
      <c r="AB50" s="295"/>
      <c r="AC50" s="292"/>
      <c r="AD50" s="294"/>
      <c r="AE50" s="294"/>
      <c r="AF50" s="294"/>
      <c r="AG50" s="295"/>
      <c r="AH50" s="292"/>
      <c r="AI50" s="294"/>
      <c r="AJ50" s="294"/>
      <c r="AK50" s="294"/>
      <c r="AL50" s="312"/>
      <c r="AM50" s="277"/>
      <c r="AN50" s="277"/>
      <c r="AO50" s="277"/>
      <c r="AP50" s="277"/>
      <c r="AQ50" s="277"/>
      <c r="AR50" s="351"/>
      <c r="AS50" s="345"/>
      <c r="AT50" s="352"/>
      <c r="AU50" s="327"/>
      <c r="AV50" s="277"/>
    </row>
    <row r="51" spans="1:48">
      <c r="A51" s="246">
        <v>6</v>
      </c>
      <c r="B51" s="246" t="s">
        <v>1232</v>
      </c>
      <c r="C51" s="246" t="s">
        <v>1363</v>
      </c>
      <c r="D51" s="246" t="s">
        <v>1280</v>
      </c>
      <c r="E51" s="246"/>
      <c r="F51" s="268"/>
      <c r="G51" s="246"/>
      <c r="H51" s="246"/>
      <c r="I51" s="296"/>
      <c r="J51" s="294"/>
      <c r="K51" s="294"/>
      <c r="L51" s="294"/>
      <c r="M51" s="312"/>
      <c r="N51" s="296"/>
      <c r="O51" s="294"/>
      <c r="P51" s="294"/>
      <c r="Q51" s="294"/>
      <c r="R51" s="312"/>
      <c r="S51" s="296"/>
      <c r="T51" s="294"/>
      <c r="U51" s="294"/>
      <c r="V51" s="294"/>
      <c r="W51" s="295"/>
      <c r="X51" s="296"/>
      <c r="Y51" s="294"/>
      <c r="Z51" s="294"/>
      <c r="AA51" s="294"/>
      <c r="AB51" s="295"/>
      <c r="AC51" s="292"/>
      <c r="AD51" s="294"/>
      <c r="AE51" s="294"/>
      <c r="AF51" s="294"/>
      <c r="AG51" s="295"/>
      <c r="AH51" s="292"/>
      <c r="AI51" s="294"/>
      <c r="AJ51" s="294"/>
      <c r="AK51" s="294"/>
      <c r="AL51" s="312"/>
      <c r="AM51" s="277"/>
      <c r="AN51" s="277"/>
      <c r="AO51" s="277"/>
      <c r="AP51" s="277"/>
      <c r="AQ51" s="277"/>
      <c r="AR51" s="351"/>
      <c r="AS51" s="347"/>
      <c r="AT51" s="353"/>
      <c r="AU51" s="327"/>
      <c r="AV51" s="277"/>
    </row>
    <row r="52" spans="1:48">
      <c r="A52" s="330">
        <v>7</v>
      </c>
      <c r="B52" s="330" t="s">
        <v>1278</v>
      </c>
      <c r="C52" s="330" t="s">
        <v>1364</v>
      </c>
      <c r="D52" s="331" t="s">
        <v>1280</v>
      </c>
      <c r="E52" s="331" t="s">
        <v>1281</v>
      </c>
      <c r="F52" s="330"/>
      <c r="G52" s="331"/>
      <c r="H52" s="331"/>
      <c r="I52" s="332"/>
      <c r="J52" s="333"/>
      <c r="K52" s="333"/>
      <c r="L52" s="333"/>
      <c r="M52" s="334"/>
      <c r="N52" s="332"/>
      <c r="O52" s="333"/>
      <c r="P52" s="333"/>
      <c r="Q52" s="333"/>
      <c r="R52" s="334"/>
      <c r="S52" s="332"/>
      <c r="T52" s="333"/>
      <c r="U52" s="333"/>
      <c r="V52" s="333"/>
      <c r="W52" s="335"/>
      <c r="X52" s="332"/>
      <c r="Y52" s="333"/>
      <c r="Z52" s="333"/>
      <c r="AA52" s="333"/>
      <c r="AB52" s="335"/>
      <c r="AC52" s="349"/>
      <c r="AD52" s="333"/>
      <c r="AE52" s="333"/>
      <c r="AF52" s="333"/>
      <c r="AG52" s="335"/>
      <c r="AH52" s="349"/>
      <c r="AI52" s="333"/>
      <c r="AJ52" s="333"/>
      <c r="AK52" s="333"/>
      <c r="AL52" s="334"/>
      <c r="AM52" s="340"/>
      <c r="AN52" s="340"/>
      <c r="AO52" s="340"/>
      <c r="AP52" s="340"/>
      <c r="AQ52" s="340"/>
      <c r="AR52" s="340"/>
      <c r="AS52" s="350"/>
      <c r="AT52" s="350"/>
      <c r="AU52" s="605" t="s">
        <v>1365</v>
      </c>
      <c r="AV52" s="606"/>
    </row>
    <row r="53" spans="1:48">
      <c r="A53" s="246">
        <v>7</v>
      </c>
      <c r="B53" s="246" t="s">
        <v>1232</v>
      </c>
      <c r="C53" s="246" t="s">
        <v>1366</v>
      </c>
      <c r="D53" s="246" t="s">
        <v>1280</v>
      </c>
      <c r="E53" s="246"/>
      <c r="F53" s="268"/>
      <c r="G53" s="246"/>
      <c r="H53" s="246"/>
      <c r="I53" s="296"/>
      <c r="J53" s="294"/>
      <c r="K53" s="294"/>
      <c r="L53" s="294"/>
      <c r="M53" s="312"/>
      <c r="N53" s="296"/>
      <c r="O53" s="294"/>
      <c r="P53" s="294"/>
      <c r="Q53" s="294"/>
      <c r="R53" s="312"/>
      <c r="S53" s="296"/>
      <c r="T53" s="294"/>
      <c r="U53" s="294"/>
      <c r="V53" s="294"/>
      <c r="W53" s="295"/>
      <c r="X53" s="296"/>
      <c r="Y53" s="294"/>
      <c r="Z53" s="294"/>
      <c r="AA53" s="294"/>
      <c r="AB53" s="295"/>
      <c r="AC53" s="292"/>
      <c r="AD53" s="294"/>
      <c r="AE53" s="294"/>
      <c r="AF53" s="294"/>
      <c r="AG53" s="295"/>
      <c r="AH53" s="292"/>
      <c r="AI53" s="294"/>
      <c r="AJ53" s="294"/>
      <c r="AK53" s="294"/>
      <c r="AL53" s="312"/>
      <c r="AM53" s="277"/>
      <c r="AN53" s="277"/>
      <c r="AO53" s="277"/>
      <c r="AP53" s="277"/>
      <c r="AQ53" s="277"/>
      <c r="AR53" s="277"/>
      <c r="AS53" s="277"/>
      <c r="AT53" s="277"/>
      <c r="AU53" s="341"/>
      <c r="AV53" s="342"/>
    </row>
    <row r="54" spans="1:48">
      <c r="A54" s="246">
        <v>7</v>
      </c>
      <c r="B54" s="246" t="s">
        <v>1232</v>
      </c>
      <c r="C54" s="246" t="s">
        <v>1367</v>
      </c>
      <c r="D54" s="246" t="s">
        <v>1280</v>
      </c>
      <c r="E54" s="246"/>
      <c r="F54" s="268"/>
      <c r="G54" s="246"/>
      <c r="H54" s="246"/>
      <c r="I54" s="296"/>
      <c r="J54" s="294"/>
      <c r="K54" s="294"/>
      <c r="L54" s="294"/>
      <c r="M54" s="312"/>
      <c r="N54" s="296"/>
      <c r="O54" s="294"/>
      <c r="P54" s="294"/>
      <c r="Q54" s="294"/>
      <c r="R54" s="312"/>
      <c r="S54" s="296"/>
      <c r="T54" s="294"/>
      <c r="U54" s="294"/>
      <c r="V54" s="294"/>
      <c r="W54" s="295"/>
      <c r="X54" s="296"/>
      <c r="Y54" s="294"/>
      <c r="Z54" s="294"/>
      <c r="AA54" s="294"/>
      <c r="AB54" s="295"/>
      <c r="AC54" s="292"/>
      <c r="AD54" s="294"/>
      <c r="AE54" s="294"/>
      <c r="AF54" s="294"/>
      <c r="AG54" s="295"/>
      <c r="AH54" s="292"/>
      <c r="AI54" s="294"/>
      <c r="AJ54" s="294"/>
      <c r="AK54" s="294"/>
      <c r="AL54" s="312"/>
      <c r="AM54" s="277"/>
      <c r="AN54" s="277"/>
      <c r="AO54" s="277"/>
      <c r="AP54" s="277"/>
      <c r="AQ54" s="277"/>
      <c r="AR54" s="277"/>
      <c r="AS54" s="277"/>
      <c r="AT54" s="277"/>
      <c r="AU54" s="343"/>
      <c r="AV54" s="344"/>
    </row>
    <row r="55" spans="1:48">
      <c r="A55" s="246">
        <v>7</v>
      </c>
      <c r="B55" s="246" t="s">
        <v>1232</v>
      </c>
      <c r="C55" s="246" t="s">
        <v>1330</v>
      </c>
      <c r="D55" s="246" t="s">
        <v>1280</v>
      </c>
      <c r="E55" s="246"/>
      <c r="F55" s="268"/>
      <c r="G55" s="246"/>
      <c r="H55" s="246"/>
      <c r="I55" s="296"/>
      <c r="J55" s="294"/>
      <c r="K55" s="294"/>
      <c r="L55" s="294"/>
      <c r="M55" s="312"/>
      <c r="N55" s="296"/>
      <c r="O55" s="294"/>
      <c r="P55" s="294"/>
      <c r="Q55" s="294"/>
      <c r="R55" s="312"/>
      <c r="S55" s="296"/>
      <c r="T55" s="294"/>
      <c r="U55" s="294"/>
      <c r="V55" s="294"/>
      <c r="W55" s="295"/>
      <c r="X55" s="296"/>
      <c r="Y55" s="294"/>
      <c r="Z55" s="294"/>
      <c r="AA55" s="294"/>
      <c r="AB55" s="295"/>
      <c r="AC55" s="292"/>
      <c r="AD55" s="294"/>
      <c r="AE55" s="294"/>
      <c r="AF55" s="294"/>
      <c r="AG55" s="295"/>
      <c r="AH55" s="292"/>
      <c r="AI55" s="294"/>
      <c r="AJ55" s="294"/>
      <c r="AK55" s="294"/>
      <c r="AL55" s="312"/>
      <c r="AM55" s="277"/>
      <c r="AN55" s="277"/>
      <c r="AO55" s="277"/>
      <c r="AP55" s="277"/>
      <c r="AQ55" s="277"/>
      <c r="AR55" s="277"/>
      <c r="AS55" s="277"/>
      <c r="AT55" s="277"/>
      <c r="AU55" s="345"/>
      <c r="AV55" s="352"/>
    </row>
    <row r="56" spans="1:48">
      <c r="A56" s="246">
        <v>7</v>
      </c>
      <c r="B56" s="246" t="s">
        <v>1232</v>
      </c>
      <c r="C56" s="246" t="s">
        <v>1368</v>
      </c>
      <c r="D56" s="246" t="s">
        <v>1280</v>
      </c>
      <c r="E56" s="246"/>
      <c r="F56" s="268"/>
      <c r="G56" s="246"/>
      <c r="H56" s="246"/>
      <c r="I56" s="296"/>
      <c r="J56" s="294"/>
      <c r="K56" s="294"/>
      <c r="L56" s="294"/>
      <c r="M56" s="312"/>
      <c r="N56" s="296"/>
      <c r="O56" s="294"/>
      <c r="P56" s="294"/>
      <c r="Q56" s="294"/>
      <c r="R56" s="312"/>
      <c r="S56" s="296"/>
      <c r="T56" s="294"/>
      <c r="U56" s="294"/>
      <c r="V56" s="294"/>
      <c r="W56" s="295"/>
      <c r="X56" s="296"/>
      <c r="Y56" s="294"/>
      <c r="Z56" s="294"/>
      <c r="AA56" s="294"/>
      <c r="AB56" s="295"/>
      <c r="AC56" s="292"/>
      <c r="AD56" s="294"/>
      <c r="AE56" s="294"/>
      <c r="AF56" s="294"/>
      <c r="AG56" s="295"/>
      <c r="AH56" s="292"/>
      <c r="AI56" s="294"/>
      <c r="AJ56" s="294"/>
      <c r="AK56" s="294"/>
      <c r="AL56" s="312"/>
      <c r="AM56" s="277"/>
      <c r="AN56" s="277"/>
      <c r="AO56" s="277"/>
      <c r="AP56" s="277"/>
      <c r="AQ56" s="277"/>
      <c r="AR56" s="277"/>
      <c r="AS56" s="277"/>
      <c r="AT56" s="277"/>
      <c r="AU56" s="347"/>
      <c r="AV56" s="353"/>
    </row>
    <row r="57" spans="1:48" ht="14.45" customHeight="1">
      <c r="A57" s="330">
        <v>8</v>
      </c>
      <c r="B57" s="330" t="s">
        <v>1278</v>
      </c>
      <c r="C57" s="330" t="s">
        <v>1321</v>
      </c>
      <c r="D57" s="331" t="s">
        <v>1280</v>
      </c>
      <c r="E57" s="331" t="s">
        <v>1281</v>
      </c>
      <c r="F57" s="330"/>
      <c r="G57" s="331"/>
      <c r="H57" s="331"/>
      <c r="I57" s="332"/>
      <c r="J57" s="333"/>
      <c r="K57" s="333"/>
      <c r="L57" s="333"/>
      <c r="M57" s="334"/>
      <c r="N57" s="332"/>
      <c r="O57" s="333"/>
      <c r="P57" s="333"/>
      <c r="Q57" s="333"/>
      <c r="R57" s="334"/>
      <c r="S57" s="332"/>
      <c r="T57" s="333"/>
      <c r="U57" s="333"/>
      <c r="V57" s="333"/>
      <c r="W57" s="335"/>
      <c r="X57" s="332"/>
      <c r="Y57" s="333"/>
      <c r="Z57" s="333"/>
      <c r="AA57" s="333"/>
      <c r="AB57" s="335"/>
      <c r="AC57" s="349"/>
      <c r="AD57" s="333"/>
      <c r="AE57" s="333"/>
      <c r="AF57" s="333"/>
      <c r="AG57" s="335"/>
      <c r="AH57" s="349"/>
      <c r="AI57" s="333"/>
      <c r="AJ57" s="333"/>
      <c r="AK57" s="333"/>
      <c r="AL57" s="334"/>
      <c r="AM57" s="340"/>
      <c r="AN57" s="340"/>
      <c r="AO57" s="340"/>
      <c r="AP57" s="340"/>
      <c r="AQ57" s="340"/>
      <c r="AR57" s="340"/>
      <c r="AS57" s="340"/>
      <c r="AT57" s="340"/>
      <c r="AU57" s="340"/>
      <c r="AV57" s="340"/>
    </row>
    <row r="58" spans="1:48">
      <c r="A58" s="246">
        <v>8</v>
      </c>
      <c r="B58" s="246" t="s">
        <v>1232</v>
      </c>
      <c r="C58" s="246" t="s">
        <v>1323</v>
      </c>
      <c r="D58" s="246" t="s">
        <v>1280</v>
      </c>
      <c r="E58" s="246"/>
      <c r="F58" s="268"/>
      <c r="G58" s="246"/>
      <c r="H58" s="246"/>
      <c r="I58" s="296"/>
      <c r="J58" s="294"/>
      <c r="K58" s="294"/>
      <c r="L58" s="294"/>
      <c r="M58" s="312"/>
      <c r="N58" s="296"/>
      <c r="O58" s="294"/>
      <c r="P58" s="294"/>
      <c r="Q58" s="294"/>
      <c r="R58" s="312"/>
      <c r="S58" s="296"/>
      <c r="T58" s="294"/>
      <c r="U58" s="294"/>
      <c r="V58" s="294"/>
      <c r="W58" s="295"/>
      <c r="X58" s="296"/>
      <c r="Y58" s="294"/>
      <c r="Z58" s="294"/>
      <c r="AA58" s="294"/>
      <c r="AB58" s="295"/>
      <c r="AC58" s="292"/>
      <c r="AD58" s="294"/>
      <c r="AE58" s="294"/>
      <c r="AF58" s="294"/>
      <c r="AG58" s="295"/>
      <c r="AH58" s="292"/>
      <c r="AI58" s="294"/>
      <c r="AJ58" s="294"/>
      <c r="AK58" s="294"/>
      <c r="AL58" s="312"/>
      <c r="AM58" s="277"/>
      <c r="AN58" s="277"/>
      <c r="AO58" s="277"/>
      <c r="AP58" s="277"/>
      <c r="AQ58" s="277"/>
      <c r="AR58" s="277"/>
      <c r="AS58" s="277"/>
      <c r="AT58" s="277"/>
      <c r="AU58" s="277"/>
      <c r="AV58" s="277"/>
    </row>
    <row r="59" spans="1:48">
      <c r="A59" s="246">
        <v>8</v>
      </c>
      <c r="B59" s="246" t="s">
        <v>1232</v>
      </c>
      <c r="C59" s="246" t="s">
        <v>1324</v>
      </c>
      <c r="D59" s="246" t="s">
        <v>1280</v>
      </c>
      <c r="E59" s="246"/>
      <c r="F59" s="268"/>
      <c r="G59" s="246"/>
      <c r="H59" s="246"/>
      <c r="I59" s="296"/>
      <c r="J59" s="294"/>
      <c r="K59" s="294"/>
      <c r="L59" s="294"/>
      <c r="M59" s="312"/>
      <c r="N59" s="296"/>
      <c r="O59" s="294"/>
      <c r="P59" s="294"/>
      <c r="Q59" s="294"/>
      <c r="R59" s="312"/>
      <c r="S59" s="296"/>
      <c r="T59" s="294"/>
      <c r="U59" s="294"/>
      <c r="V59" s="294"/>
      <c r="W59" s="295"/>
      <c r="X59" s="296"/>
      <c r="Y59" s="294"/>
      <c r="Z59" s="294"/>
      <c r="AA59" s="294"/>
      <c r="AB59" s="295"/>
      <c r="AC59" s="292"/>
      <c r="AD59" s="294"/>
      <c r="AE59" s="294"/>
      <c r="AF59" s="294"/>
      <c r="AG59" s="295"/>
      <c r="AH59" s="292"/>
      <c r="AI59" s="294"/>
      <c r="AJ59" s="294"/>
      <c r="AK59" s="294"/>
      <c r="AL59" s="312"/>
      <c r="AM59" s="277"/>
      <c r="AN59" s="277"/>
      <c r="AO59" s="277"/>
      <c r="AP59" s="277"/>
      <c r="AQ59" s="277"/>
      <c r="AR59" s="277"/>
      <c r="AS59" s="277"/>
      <c r="AT59" s="277"/>
      <c r="AU59" s="277"/>
      <c r="AV59" s="277"/>
    </row>
    <row r="60" spans="1:48">
      <c r="A60" s="246">
        <v>8</v>
      </c>
      <c r="B60" s="246" t="s">
        <v>1232</v>
      </c>
      <c r="C60" s="246" t="s">
        <v>1325</v>
      </c>
      <c r="D60" s="246" t="s">
        <v>1280</v>
      </c>
      <c r="E60" s="246"/>
      <c r="F60" s="268"/>
      <c r="G60" s="246"/>
      <c r="H60" s="246"/>
      <c r="I60" s="296"/>
      <c r="J60" s="294"/>
      <c r="K60" s="294"/>
      <c r="L60" s="294"/>
      <c r="M60" s="312"/>
      <c r="N60" s="296"/>
      <c r="O60" s="294"/>
      <c r="P60" s="294"/>
      <c r="Q60" s="294"/>
      <c r="R60" s="312"/>
      <c r="S60" s="296"/>
      <c r="T60" s="294"/>
      <c r="U60" s="294"/>
      <c r="V60" s="294"/>
      <c r="W60" s="295"/>
      <c r="X60" s="296"/>
      <c r="Y60" s="294"/>
      <c r="Z60" s="294"/>
      <c r="AA60" s="294"/>
      <c r="AB60" s="295"/>
      <c r="AC60" s="292"/>
      <c r="AD60" s="294"/>
      <c r="AE60" s="294"/>
      <c r="AF60" s="294"/>
      <c r="AG60" s="295"/>
      <c r="AH60" s="292"/>
      <c r="AI60" s="294"/>
      <c r="AJ60" s="294"/>
      <c r="AK60" s="294"/>
      <c r="AL60" s="312"/>
      <c r="AM60" s="277"/>
      <c r="AN60" s="277"/>
      <c r="AO60" s="277"/>
      <c r="AP60" s="277"/>
      <c r="AQ60" s="277"/>
      <c r="AR60" s="277"/>
      <c r="AS60" s="277"/>
      <c r="AT60" s="277"/>
      <c r="AU60" s="277"/>
      <c r="AV60" s="277"/>
    </row>
    <row r="61" spans="1:48">
      <c r="A61" s="246">
        <v>8</v>
      </c>
      <c r="B61" s="246" t="s">
        <v>1232</v>
      </c>
      <c r="C61" s="246" t="s">
        <v>1326</v>
      </c>
      <c r="D61" s="246" t="s">
        <v>1280</v>
      </c>
      <c r="E61" s="246"/>
      <c r="F61" s="268"/>
      <c r="G61" s="246"/>
      <c r="H61" s="246"/>
      <c r="I61" s="296"/>
      <c r="J61" s="294"/>
      <c r="K61" s="294"/>
      <c r="L61" s="294"/>
      <c r="M61" s="312"/>
      <c r="N61" s="296"/>
      <c r="O61" s="294"/>
      <c r="P61" s="294"/>
      <c r="Q61" s="294"/>
      <c r="R61" s="312"/>
      <c r="S61" s="296"/>
      <c r="T61" s="294"/>
      <c r="U61" s="294"/>
      <c r="V61" s="294"/>
      <c r="W61" s="295"/>
      <c r="X61" s="296"/>
      <c r="Y61" s="294"/>
      <c r="Z61" s="294"/>
      <c r="AA61" s="294"/>
      <c r="AB61" s="295"/>
      <c r="AC61" s="292"/>
      <c r="AD61" s="294"/>
      <c r="AE61" s="294"/>
      <c r="AF61" s="294"/>
      <c r="AG61" s="295"/>
      <c r="AH61" s="292"/>
      <c r="AI61" s="294"/>
      <c r="AJ61" s="294"/>
      <c r="AK61" s="294"/>
      <c r="AL61" s="312"/>
      <c r="AM61" s="277"/>
      <c r="AN61" s="277"/>
      <c r="AO61" s="277"/>
      <c r="AP61" s="277"/>
      <c r="AQ61" s="277"/>
      <c r="AR61" s="277"/>
      <c r="AS61" s="277"/>
      <c r="AT61" s="277"/>
      <c r="AU61" s="277"/>
      <c r="AV61" s="277"/>
    </row>
    <row r="62" spans="1:48" ht="14.45" hidden="1" customHeight="1">
      <c r="A62" s="330">
        <v>9</v>
      </c>
      <c r="B62" s="330" t="s">
        <v>1278</v>
      </c>
      <c r="C62" s="330" t="s">
        <v>1327</v>
      </c>
      <c r="D62" s="331" t="s">
        <v>1280</v>
      </c>
      <c r="E62" s="331" t="s">
        <v>1281</v>
      </c>
      <c r="F62" s="330"/>
      <c r="G62" s="331"/>
      <c r="H62" s="331"/>
      <c r="I62" s="332"/>
      <c r="J62" s="333"/>
      <c r="K62" s="333"/>
      <c r="L62" s="333"/>
      <c r="M62" s="334"/>
      <c r="N62" s="332"/>
      <c r="O62" s="333"/>
      <c r="P62" s="333"/>
      <c r="Q62" s="333"/>
      <c r="R62" s="334"/>
      <c r="S62" s="332"/>
      <c r="T62" s="333"/>
      <c r="U62" s="333"/>
      <c r="V62" s="333"/>
      <c r="W62" s="335"/>
      <c r="X62" s="332"/>
      <c r="Y62" s="333"/>
      <c r="Z62" s="333"/>
      <c r="AA62" s="333"/>
      <c r="AB62" s="335"/>
      <c r="AC62" s="349"/>
      <c r="AD62" s="333"/>
      <c r="AE62" s="333"/>
      <c r="AF62" s="333"/>
      <c r="AG62" s="335"/>
      <c r="AH62" s="349"/>
      <c r="AI62" s="333"/>
      <c r="AJ62" s="333"/>
      <c r="AK62" s="333"/>
      <c r="AL62" s="334"/>
      <c r="AM62" s="340"/>
      <c r="AN62" s="340"/>
      <c r="AO62" s="340"/>
      <c r="AP62" s="340"/>
      <c r="AQ62" s="340"/>
      <c r="AR62" s="340"/>
      <c r="AS62" s="340"/>
      <c r="AT62" s="340"/>
      <c r="AU62" s="340"/>
      <c r="AV62" s="340"/>
    </row>
    <row r="63" spans="1:48" hidden="1">
      <c r="A63" s="246">
        <v>9</v>
      </c>
      <c r="B63" s="246" t="s">
        <v>1232</v>
      </c>
      <c r="C63" s="246" t="s">
        <v>1328</v>
      </c>
      <c r="D63" s="246" t="s">
        <v>1280</v>
      </c>
      <c r="E63" s="246"/>
      <c r="F63" s="268"/>
      <c r="G63" s="246"/>
      <c r="H63" s="246"/>
      <c r="I63" s="296"/>
      <c r="J63" s="294"/>
      <c r="K63" s="294"/>
      <c r="L63" s="294"/>
      <c r="M63" s="312"/>
      <c r="N63" s="296"/>
      <c r="O63" s="294"/>
      <c r="P63" s="294"/>
      <c r="Q63" s="294"/>
      <c r="R63" s="312"/>
      <c r="S63" s="296"/>
      <c r="T63" s="294"/>
      <c r="U63" s="294"/>
      <c r="V63" s="294"/>
      <c r="W63" s="295"/>
      <c r="X63" s="296"/>
      <c r="Y63" s="294"/>
      <c r="Z63" s="294"/>
      <c r="AA63" s="294"/>
      <c r="AB63" s="295"/>
      <c r="AC63" s="292"/>
      <c r="AD63" s="294"/>
      <c r="AE63" s="294"/>
      <c r="AF63" s="294"/>
      <c r="AG63" s="295"/>
      <c r="AH63" s="292"/>
      <c r="AI63" s="294"/>
      <c r="AJ63" s="294"/>
      <c r="AK63" s="294"/>
      <c r="AL63" s="312"/>
      <c r="AM63" s="277"/>
      <c r="AN63" s="277"/>
      <c r="AO63" s="277"/>
      <c r="AP63" s="277"/>
      <c r="AQ63" s="277"/>
      <c r="AR63" s="277"/>
      <c r="AS63" s="277"/>
      <c r="AT63" s="277"/>
      <c r="AU63" s="277"/>
      <c r="AV63" s="277"/>
    </row>
    <row r="64" spans="1:48" hidden="1">
      <c r="A64" s="246">
        <v>9</v>
      </c>
      <c r="B64" s="246" t="s">
        <v>1232</v>
      </c>
      <c r="C64" s="246" t="s">
        <v>1329</v>
      </c>
      <c r="D64" s="246" t="s">
        <v>1280</v>
      </c>
      <c r="E64" s="246"/>
      <c r="F64" s="268"/>
      <c r="G64" s="246"/>
      <c r="H64" s="246"/>
      <c r="I64" s="296"/>
      <c r="J64" s="294"/>
      <c r="K64" s="294"/>
      <c r="L64" s="294"/>
      <c r="M64" s="312"/>
      <c r="N64" s="296"/>
      <c r="O64" s="294"/>
      <c r="P64" s="294"/>
      <c r="Q64" s="294"/>
      <c r="R64" s="312"/>
      <c r="S64" s="296"/>
      <c r="T64" s="294"/>
      <c r="U64" s="294"/>
      <c r="V64" s="294"/>
      <c r="W64" s="295"/>
      <c r="X64" s="296"/>
      <c r="Y64" s="294"/>
      <c r="Z64" s="294"/>
      <c r="AA64" s="294"/>
      <c r="AB64" s="295"/>
      <c r="AC64" s="292"/>
      <c r="AD64" s="294"/>
      <c r="AE64" s="294"/>
      <c r="AF64" s="294"/>
      <c r="AG64" s="295"/>
      <c r="AH64" s="292"/>
      <c r="AI64" s="294"/>
      <c r="AJ64" s="294"/>
      <c r="AK64" s="294"/>
      <c r="AL64" s="312"/>
      <c r="AM64" s="277"/>
      <c r="AN64" s="277"/>
      <c r="AO64" s="277"/>
      <c r="AP64" s="277"/>
      <c r="AQ64" s="277"/>
      <c r="AR64" s="277"/>
      <c r="AS64" s="277"/>
      <c r="AT64" s="277"/>
      <c r="AU64" s="277"/>
      <c r="AV64" s="277"/>
    </row>
    <row r="65" spans="1:48" hidden="1">
      <c r="A65" s="246">
        <v>9</v>
      </c>
      <c r="B65" s="246" t="s">
        <v>1232</v>
      </c>
      <c r="C65" s="246" t="s">
        <v>1330</v>
      </c>
      <c r="D65" s="246" t="s">
        <v>1280</v>
      </c>
      <c r="E65" s="246"/>
      <c r="F65" s="268"/>
      <c r="G65" s="246"/>
      <c r="H65" s="246"/>
      <c r="I65" s="296"/>
      <c r="J65" s="294"/>
      <c r="K65" s="294"/>
      <c r="L65" s="294"/>
      <c r="M65" s="312"/>
      <c r="N65" s="296"/>
      <c r="O65" s="294"/>
      <c r="P65" s="294"/>
      <c r="Q65" s="294"/>
      <c r="R65" s="312"/>
      <c r="S65" s="296"/>
      <c r="T65" s="294"/>
      <c r="U65" s="294"/>
      <c r="V65" s="294"/>
      <c r="W65" s="295"/>
      <c r="X65" s="296"/>
      <c r="Y65" s="294"/>
      <c r="Z65" s="294"/>
      <c r="AA65" s="294"/>
      <c r="AB65" s="295"/>
      <c r="AC65" s="292"/>
      <c r="AD65" s="294"/>
      <c r="AE65" s="294"/>
      <c r="AF65" s="294"/>
      <c r="AG65" s="295"/>
      <c r="AH65" s="292"/>
      <c r="AI65" s="294"/>
      <c r="AJ65" s="294"/>
      <c r="AK65" s="294"/>
      <c r="AL65" s="312"/>
      <c r="AM65" s="277"/>
      <c r="AN65" s="277"/>
      <c r="AO65" s="277"/>
      <c r="AP65" s="277"/>
      <c r="AQ65" s="277"/>
      <c r="AR65" s="277"/>
      <c r="AS65" s="277"/>
      <c r="AT65" s="277"/>
      <c r="AU65" s="277"/>
      <c r="AV65" s="277"/>
    </row>
    <row r="66" spans="1:48" hidden="1">
      <c r="A66" s="246">
        <v>9</v>
      </c>
      <c r="B66" s="246" t="s">
        <v>1232</v>
      </c>
      <c r="C66" s="246" t="s">
        <v>1331</v>
      </c>
      <c r="D66" s="246" t="s">
        <v>1280</v>
      </c>
      <c r="E66" s="246"/>
      <c r="F66" s="268"/>
      <c r="G66" s="246"/>
      <c r="H66" s="246"/>
      <c r="I66" s="296"/>
      <c r="J66" s="294"/>
      <c r="K66" s="294"/>
      <c r="L66" s="294"/>
      <c r="M66" s="312"/>
      <c r="N66" s="296"/>
      <c r="O66" s="294"/>
      <c r="P66" s="294"/>
      <c r="Q66" s="294"/>
      <c r="R66" s="312"/>
      <c r="S66" s="296"/>
      <c r="T66" s="294"/>
      <c r="U66" s="294"/>
      <c r="V66" s="294"/>
      <c r="W66" s="295"/>
      <c r="X66" s="296"/>
      <c r="Y66" s="294"/>
      <c r="Z66" s="294"/>
      <c r="AA66" s="294"/>
      <c r="AB66" s="295"/>
      <c r="AC66" s="292"/>
      <c r="AD66" s="294"/>
      <c r="AE66" s="294"/>
      <c r="AF66" s="294"/>
      <c r="AG66" s="295"/>
      <c r="AH66" s="292"/>
      <c r="AI66" s="294"/>
      <c r="AJ66" s="294"/>
      <c r="AK66" s="294"/>
      <c r="AL66" s="312"/>
      <c r="AM66" s="277"/>
      <c r="AN66" s="277"/>
      <c r="AO66" s="277"/>
      <c r="AP66" s="277"/>
      <c r="AQ66" s="277"/>
      <c r="AR66" s="277"/>
      <c r="AS66" s="277"/>
      <c r="AT66" s="277"/>
      <c r="AU66" s="277"/>
      <c r="AV66" s="277"/>
    </row>
    <row r="67" spans="1:48" ht="14.45" hidden="1" customHeight="1">
      <c r="A67" s="330">
        <v>10</v>
      </c>
      <c r="B67" s="330" t="s">
        <v>1278</v>
      </c>
      <c r="C67" s="330" t="s">
        <v>1332</v>
      </c>
      <c r="D67" s="331" t="s">
        <v>1280</v>
      </c>
      <c r="E67" s="331" t="s">
        <v>1281</v>
      </c>
      <c r="F67" s="330"/>
      <c r="G67" s="331"/>
      <c r="H67" s="331"/>
      <c r="I67" s="332"/>
      <c r="J67" s="333"/>
      <c r="K67" s="333"/>
      <c r="L67" s="333"/>
      <c r="M67" s="334"/>
      <c r="N67" s="332"/>
      <c r="O67" s="333"/>
      <c r="P67" s="333"/>
      <c r="Q67" s="333"/>
      <c r="R67" s="334"/>
      <c r="S67" s="332"/>
      <c r="T67" s="333"/>
      <c r="U67" s="333"/>
      <c r="V67" s="333"/>
      <c r="W67" s="335"/>
      <c r="X67" s="332"/>
      <c r="Y67" s="333"/>
      <c r="Z67" s="333"/>
      <c r="AA67" s="333"/>
      <c r="AB67" s="335"/>
      <c r="AC67" s="349"/>
      <c r="AD67" s="333"/>
      <c r="AE67" s="333"/>
      <c r="AF67" s="333"/>
      <c r="AG67" s="335"/>
      <c r="AH67" s="349"/>
      <c r="AI67" s="333"/>
      <c r="AJ67" s="333"/>
      <c r="AK67" s="333"/>
      <c r="AL67" s="334"/>
      <c r="AM67" s="340"/>
      <c r="AN67" s="340"/>
      <c r="AO67" s="340"/>
      <c r="AP67" s="340"/>
      <c r="AQ67" s="340"/>
      <c r="AR67" s="340"/>
      <c r="AS67" s="340"/>
      <c r="AT67" s="340"/>
      <c r="AU67" s="340"/>
      <c r="AV67" s="340"/>
    </row>
    <row r="68" spans="1:48" hidden="1">
      <c r="A68" s="354">
        <v>10</v>
      </c>
      <c r="B68" s="246" t="s">
        <v>1232</v>
      </c>
      <c r="C68" s="246" t="s">
        <v>1333</v>
      </c>
      <c r="D68" s="246" t="s">
        <v>1280</v>
      </c>
      <c r="E68" s="246"/>
      <c r="F68" s="268"/>
      <c r="G68" s="246"/>
      <c r="H68" s="246"/>
      <c r="I68" s="296"/>
      <c r="J68" s="294"/>
      <c r="K68" s="294"/>
      <c r="L68" s="294"/>
      <c r="M68" s="312"/>
      <c r="N68" s="296"/>
      <c r="O68" s="294"/>
      <c r="P68" s="294"/>
      <c r="Q68" s="294"/>
      <c r="R68" s="312"/>
      <c r="S68" s="296"/>
      <c r="T68" s="294"/>
      <c r="U68" s="294"/>
      <c r="V68" s="294"/>
      <c r="W68" s="295"/>
      <c r="X68" s="296"/>
      <c r="Y68" s="294"/>
      <c r="Z68" s="294"/>
      <c r="AA68" s="294"/>
      <c r="AB68" s="295"/>
      <c r="AC68" s="292"/>
      <c r="AD68" s="294"/>
      <c r="AE68" s="294"/>
      <c r="AF68" s="294"/>
      <c r="AG68" s="295"/>
      <c r="AH68" s="292"/>
      <c r="AI68" s="294"/>
      <c r="AJ68" s="294"/>
      <c r="AK68" s="294"/>
      <c r="AL68" s="312"/>
      <c r="AM68" s="277"/>
      <c r="AN68" s="277"/>
      <c r="AO68" s="277"/>
      <c r="AP68" s="277"/>
      <c r="AQ68" s="277"/>
      <c r="AR68" s="277"/>
      <c r="AS68" s="277"/>
      <c r="AT68" s="277"/>
      <c r="AU68" s="277"/>
      <c r="AV68" s="277"/>
    </row>
    <row r="69" spans="1:48" hidden="1">
      <c r="A69" s="354">
        <v>10</v>
      </c>
      <c r="B69" s="246" t="s">
        <v>1232</v>
      </c>
      <c r="C69" s="246" t="s">
        <v>1334</v>
      </c>
      <c r="D69" s="246" t="s">
        <v>1280</v>
      </c>
      <c r="E69" s="246"/>
      <c r="F69" s="268"/>
      <c r="G69" s="246"/>
      <c r="H69" s="246"/>
      <c r="I69" s="296"/>
      <c r="J69" s="294"/>
      <c r="K69" s="294"/>
      <c r="L69" s="294"/>
      <c r="M69" s="312"/>
      <c r="N69" s="296"/>
      <c r="O69" s="294"/>
      <c r="P69" s="294"/>
      <c r="Q69" s="294"/>
      <c r="R69" s="312"/>
      <c r="S69" s="296"/>
      <c r="T69" s="294"/>
      <c r="U69" s="294"/>
      <c r="V69" s="294"/>
      <c r="W69" s="295"/>
      <c r="X69" s="296"/>
      <c r="Y69" s="294"/>
      <c r="Z69" s="294"/>
      <c r="AA69" s="294"/>
      <c r="AB69" s="295"/>
      <c r="AC69" s="292"/>
      <c r="AD69" s="294"/>
      <c r="AE69" s="294"/>
      <c r="AF69" s="294"/>
      <c r="AG69" s="295"/>
      <c r="AH69" s="292"/>
      <c r="AI69" s="294"/>
      <c r="AJ69" s="294"/>
      <c r="AK69" s="294"/>
      <c r="AL69" s="312"/>
      <c r="AM69" s="277"/>
      <c r="AN69" s="277"/>
      <c r="AO69" s="277"/>
      <c r="AP69" s="277"/>
      <c r="AQ69" s="277"/>
      <c r="AR69" s="277"/>
      <c r="AS69" s="277"/>
      <c r="AT69" s="277"/>
      <c r="AU69" s="277"/>
      <c r="AV69" s="277"/>
    </row>
    <row r="70" spans="1:48" hidden="1">
      <c r="A70" s="354">
        <v>10</v>
      </c>
      <c r="B70" s="246" t="s">
        <v>1232</v>
      </c>
      <c r="C70" s="246" t="s">
        <v>1335</v>
      </c>
      <c r="D70" s="246" t="s">
        <v>1280</v>
      </c>
      <c r="E70" s="246"/>
      <c r="F70" s="268"/>
      <c r="G70" s="246"/>
      <c r="H70" s="246"/>
      <c r="I70" s="296"/>
      <c r="J70" s="294"/>
      <c r="K70" s="294"/>
      <c r="L70" s="294"/>
      <c r="M70" s="312"/>
      <c r="N70" s="296"/>
      <c r="O70" s="294"/>
      <c r="P70" s="294"/>
      <c r="Q70" s="294"/>
      <c r="R70" s="312"/>
      <c r="S70" s="296"/>
      <c r="T70" s="294"/>
      <c r="U70" s="294"/>
      <c r="V70" s="294"/>
      <c r="W70" s="295"/>
      <c r="X70" s="296"/>
      <c r="Y70" s="294"/>
      <c r="Z70" s="294"/>
      <c r="AA70" s="294"/>
      <c r="AB70" s="295"/>
      <c r="AC70" s="292"/>
      <c r="AD70" s="294"/>
      <c r="AE70" s="294"/>
      <c r="AF70" s="294"/>
      <c r="AG70" s="295"/>
      <c r="AH70" s="292"/>
      <c r="AI70" s="294"/>
      <c r="AJ70" s="294"/>
      <c r="AK70" s="294"/>
      <c r="AL70" s="312"/>
      <c r="AM70" s="277"/>
      <c r="AN70" s="277"/>
      <c r="AO70" s="277"/>
      <c r="AP70" s="277"/>
      <c r="AQ70" s="277"/>
      <c r="AR70" s="277"/>
      <c r="AS70" s="277"/>
      <c r="AT70" s="277"/>
      <c r="AU70" s="277"/>
      <c r="AV70" s="277"/>
    </row>
    <row r="71" spans="1:48" hidden="1">
      <c r="A71" s="354">
        <v>10</v>
      </c>
      <c r="B71" s="246" t="s">
        <v>1232</v>
      </c>
      <c r="C71" s="246" t="s">
        <v>1336</v>
      </c>
      <c r="D71" s="246" t="s">
        <v>1280</v>
      </c>
      <c r="E71" s="246"/>
      <c r="F71" s="268"/>
      <c r="G71" s="246"/>
      <c r="H71" s="246"/>
      <c r="I71" s="296"/>
      <c r="J71" s="294"/>
      <c r="K71" s="294"/>
      <c r="L71" s="294"/>
      <c r="M71" s="312"/>
      <c r="N71" s="296"/>
      <c r="O71" s="294"/>
      <c r="P71" s="294"/>
      <c r="Q71" s="294"/>
      <c r="R71" s="312"/>
      <c r="S71" s="296"/>
      <c r="T71" s="294"/>
      <c r="U71" s="294"/>
      <c r="V71" s="294"/>
      <c r="W71" s="295"/>
      <c r="X71" s="296"/>
      <c r="Y71" s="294"/>
      <c r="Z71" s="294"/>
      <c r="AA71" s="294"/>
      <c r="AB71" s="295"/>
      <c r="AC71" s="292"/>
      <c r="AD71" s="294"/>
      <c r="AE71" s="294"/>
      <c r="AF71" s="294"/>
      <c r="AG71" s="295"/>
      <c r="AH71" s="292"/>
      <c r="AI71" s="294"/>
      <c r="AJ71" s="294"/>
      <c r="AK71" s="294"/>
      <c r="AL71" s="312"/>
      <c r="AM71" s="277"/>
      <c r="AN71" s="277"/>
      <c r="AO71" s="277"/>
      <c r="AP71" s="277"/>
      <c r="AQ71" s="277"/>
      <c r="AR71" s="277"/>
      <c r="AS71" s="277"/>
      <c r="AT71" s="277"/>
      <c r="AU71" s="277"/>
      <c r="AV71" s="277"/>
    </row>
    <row r="72" spans="1:48" ht="14.45" hidden="1" customHeight="1">
      <c r="A72" s="330">
        <v>11</v>
      </c>
      <c r="B72" s="330" t="s">
        <v>1278</v>
      </c>
      <c r="C72" s="330" t="s">
        <v>1337</v>
      </c>
      <c r="D72" s="331" t="s">
        <v>1280</v>
      </c>
      <c r="E72" s="331" t="s">
        <v>1281</v>
      </c>
      <c r="F72" s="330"/>
      <c r="G72" s="331"/>
      <c r="H72" s="331"/>
      <c r="I72" s="332"/>
      <c r="J72" s="333"/>
      <c r="K72" s="333"/>
      <c r="L72" s="333"/>
      <c r="M72" s="334"/>
      <c r="N72" s="332"/>
      <c r="O72" s="333"/>
      <c r="P72" s="333"/>
      <c r="Q72" s="333"/>
      <c r="R72" s="334"/>
      <c r="S72" s="332"/>
      <c r="T72" s="333"/>
      <c r="U72" s="333"/>
      <c r="V72" s="333"/>
      <c r="W72" s="335"/>
      <c r="X72" s="332"/>
      <c r="Y72" s="333"/>
      <c r="Z72" s="333"/>
      <c r="AA72" s="333"/>
      <c r="AB72" s="335"/>
      <c r="AC72" s="349"/>
      <c r="AD72" s="333"/>
      <c r="AE72" s="333"/>
      <c r="AF72" s="333"/>
      <c r="AG72" s="335"/>
      <c r="AH72" s="349"/>
      <c r="AI72" s="333"/>
      <c r="AJ72" s="333"/>
      <c r="AK72" s="333"/>
      <c r="AL72" s="334"/>
      <c r="AM72" s="340"/>
      <c r="AN72" s="340"/>
      <c r="AO72" s="340"/>
      <c r="AP72" s="340"/>
      <c r="AQ72" s="340"/>
      <c r="AR72" s="340"/>
      <c r="AS72" s="340"/>
      <c r="AT72" s="340"/>
      <c r="AU72" s="340"/>
      <c r="AV72" s="340"/>
    </row>
    <row r="73" spans="1:48" hidden="1">
      <c r="A73" s="354">
        <v>11</v>
      </c>
      <c r="B73" s="246" t="s">
        <v>1232</v>
      </c>
      <c r="C73" s="246" t="s">
        <v>1338</v>
      </c>
      <c r="D73" s="246" t="s">
        <v>1280</v>
      </c>
      <c r="E73" s="246"/>
      <c r="F73" s="268"/>
      <c r="G73" s="246"/>
      <c r="H73" s="246"/>
      <c r="I73" s="296"/>
      <c r="J73" s="294"/>
      <c r="K73" s="294"/>
      <c r="L73" s="294"/>
      <c r="M73" s="312"/>
      <c r="N73" s="296"/>
      <c r="O73" s="294"/>
      <c r="P73" s="294"/>
      <c r="Q73" s="294"/>
      <c r="R73" s="312"/>
      <c r="S73" s="296"/>
      <c r="T73" s="294"/>
      <c r="U73" s="294"/>
      <c r="V73" s="294"/>
      <c r="W73" s="295"/>
      <c r="X73" s="296"/>
      <c r="Y73" s="294"/>
      <c r="Z73" s="294"/>
      <c r="AA73" s="294"/>
      <c r="AB73" s="295"/>
      <c r="AC73" s="292"/>
      <c r="AD73" s="294"/>
      <c r="AE73" s="294"/>
      <c r="AF73" s="294"/>
      <c r="AG73" s="295"/>
      <c r="AH73" s="292"/>
      <c r="AI73" s="294"/>
      <c r="AJ73" s="294"/>
      <c r="AK73" s="294"/>
      <c r="AL73" s="312"/>
      <c r="AM73" s="277"/>
      <c r="AN73" s="277"/>
      <c r="AO73" s="277"/>
      <c r="AP73" s="277"/>
      <c r="AQ73" s="277"/>
      <c r="AR73" s="277"/>
      <c r="AS73" s="277"/>
      <c r="AT73" s="277"/>
      <c r="AU73" s="277"/>
      <c r="AV73" s="277"/>
    </row>
    <row r="74" spans="1:48" hidden="1">
      <c r="A74" s="354">
        <v>11</v>
      </c>
      <c r="B74" s="246" t="s">
        <v>1232</v>
      </c>
      <c r="C74" s="246" t="s">
        <v>1334</v>
      </c>
      <c r="D74" s="246" t="s">
        <v>1280</v>
      </c>
      <c r="E74" s="246"/>
      <c r="F74" s="268"/>
      <c r="G74" s="246"/>
      <c r="H74" s="246"/>
      <c r="I74" s="296"/>
      <c r="J74" s="294"/>
      <c r="K74" s="294"/>
      <c r="L74" s="294"/>
      <c r="M74" s="312"/>
      <c r="N74" s="296"/>
      <c r="O74" s="294"/>
      <c r="P74" s="294"/>
      <c r="Q74" s="294"/>
      <c r="R74" s="312"/>
      <c r="S74" s="296"/>
      <c r="T74" s="294"/>
      <c r="U74" s="294"/>
      <c r="V74" s="294"/>
      <c r="W74" s="295"/>
      <c r="X74" s="296"/>
      <c r="Y74" s="294"/>
      <c r="Z74" s="294"/>
      <c r="AA74" s="294"/>
      <c r="AB74" s="295"/>
      <c r="AC74" s="292"/>
      <c r="AD74" s="294"/>
      <c r="AE74" s="294"/>
      <c r="AF74" s="294"/>
      <c r="AG74" s="295"/>
      <c r="AH74" s="292"/>
      <c r="AI74" s="294"/>
      <c r="AJ74" s="294"/>
      <c r="AK74" s="294"/>
      <c r="AL74" s="312"/>
      <c r="AM74" s="277"/>
      <c r="AN74" s="277"/>
      <c r="AO74" s="277"/>
      <c r="AP74" s="277"/>
      <c r="AQ74" s="277"/>
      <c r="AR74" s="277"/>
      <c r="AS74" s="277"/>
      <c r="AT74" s="277"/>
      <c r="AU74" s="277"/>
      <c r="AV74" s="277"/>
    </row>
    <row r="75" spans="1:48" hidden="1">
      <c r="A75" s="354">
        <v>11</v>
      </c>
      <c r="B75" s="246" t="s">
        <v>1232</v>
      </c>
      <c r="C75" s="246" t="s">
        <v>1339</v>
      </c>
      <c r="D75" s="246" t="s">
        <v>1280</v>
      </c>
      <c r="E75" s="246"/>
      <c r="F75" s="268"/>
      <c r="G75" s="246"/>
      <c r="H75" s="246"/>
      <c r="I75" s="296"/>
      <c r="J75" s="294"/>
      <c r="K75" s="294"/>
      <c r="L75" s="294"/>
      <c r="M75" s="312"/>
      <c r="N75" s="296"/>
      <c r="O75" s="294"/>
      <c r="P75" s="294"/>
      <c r="Q75" s="294"/>
      <c r="R75" s="312"/>
      <c r="S75" s="296"/>
      <c r="T75" s="294"/>
      <c r="U75" s="294"/>
      <c r="V75" s="294"/>
      <c r="W75" s="295"/>
      <c r="X75" s="296"/>
      <c r="Y75" s="294"/>
      <c r="Z75" s="294"/>
      <c r="AA75" s="294"/>
      <c r="AB75" s="295"/>
      <c r="AC75" s="292"/>
      <c r="AD75" s="294"/>
      <c r="AE75" s="294"/>
      <c r="AF75" s="294"/>
      <c r="AG75" s="295"/>
      <c r="AH75" s="292"/>
      <c r="AI75" s="294"/>
      <c r="AJ75" s="294"/>
      <c r="AK75" s="294"/>
      <c r="AL75" s="312"/>
      <c r="AM75" s="277"/>
      <c r="AN75" s="277"/>
      <c r="AO75" s="277"/>
      <c r="AP75" s="277"/>
      <c r="AQ75" s="277"/>
      <c r="AR75" s="277"/>
      <c r="AS75" s="277"/>
      <c r="AT75" s="277"/>
      <c r="AU75" s="277"/>
      <c r="AV75" s="277"/>
    </row>
    <row r="76" spans="1:48" hidden="1">
      <c r="A76" s="354">
        <v>11</v>
      </c>
      <c r="B76" s="246" t="s">
        <v>1232</v>
      </c>
      <c r="C76" s="246" t="s">
        <v>1335</v>
      </c>
      <c r="D76" s="246" t="s">
        <v>1280</v>
      </c>
      <c r="E76" s="246"/>
      <c r="F76" s="268"/>
      <c r="G76" s="246"/>
      <c r="H76" s="246"/>
      <c r="I76" s="296"/>
      <c r="J76" s="294"/>
      <c r="K76" s="294"/>
      <c r="L76" s="294"/>
      <c r="M76" s="312"/>
      <c r="N76" s="296"/>
      <c r="O76" s="294"/>
      <c r="P76" s="294"/>
      <c r="Q76" s="294"/>
      <c r="R76" s="312"/>
      <c r="S76" s="296"/>
      <c r="T76" s="294"/>
      <c r="U76" s="294"/>
      <c r="V76" s="294"/>
      <c r="W76" s="295"/>
      <c r="X76" s="296"/>
      <c r="Y76" s="294"/>
      <c r="Z76" s="294"/>
      <c r="AA76" s="294"/>
      <c r="AB76" s="295"/>
      <c r="AC76" s="292"/>
      <c r="AD76" s="294"/>
      <c r="AE76" s="294"/>
      <c r="AF76" s="294"/>
      <c r="AG76" s="295"/>
      <c r="AH76" s="292"/>
      <c r="AI76" s="294"/>
      <c r="AJ76" s="294"/>
      <c r="AK76" s="294"/>
      <c r="AL76" s="312"/>
      <c r="AM76" s="277"/>
      <c r="AN76" s="277"/>
      <c r="AO76" s="277"/>
      <c r="AP76" s="277"/>
      <c r="AQ76" s="277"/>
      <c r="AR76" s="277"/>
      <c r="AS76" s="277"/>
      <c r="AT76" s="277"/>
      <c r="AU76" s="277"/>
      <c r="AV76" s="277"/>
    </row>
    <row r="77" spans="1:48" hidden="1">
      <c r="A77" s="354">
        <v>11</v>
      </c>
      <c r="B77" s="246" t="s">
        <v>1232</v>
      </c>
      <c r="C77" s="246" t="s">
        <v>1340</v>
      </c>
      <c r="D77" s="246" t="s">
        <v>1280</v>
      </c>
      <c r="E77" s="246"/>
      <c r="F77" s="268"/>
      <c r="G77" s="246"/>
      <c r="H77" s="246"/>
      <c r="I77" s="296"/>
      <c r="J77" s="294"/>
      <c r="K77" s="294"/>
      <c r="L77" s="294"/>
      <c r="M77" s="312"/>
      <c r="N77" s="296"/>
      <c r="O77" s="294"/>
      <c r="P77" s="294"/>
      <c r="Q77" s="294"/>
      <c r="R77" s="312"/>
      <c r="S77" s="296"/>
      <c r="T77" s="294"/>
      <c r="U77" s="294"/>
      <c r="V77" s="294"/>
      <c r="W77" s="295"/>
      <c r="X77" s="296"/>
      <c r="Y77" s="294"/>
      <c r="Z77" s="294"/>
      <c r="AA77" s="294"/>
      <c r="AB77" s="295"/>
      <c r="AC77" s="292"/>
      <c r="AD77" s="294"/>
      <c r="AE77" s="294"/>
      <c r="AF77" s="294"/>
      <c r="AG77" s="295"/>
      <c r="AH77" s="292"/>
      <c r="AI77" s="294"/>
      <c r="AJ77" s="294"/>
      <c r="AK77" s="294"/>
      <c r="AL77" s="312"/>
      <c r="AM77" s="277"/>
      <c r="AN77" s="277"/>
      <c r="AO77" s="277"/>
      <c r="AP77" s="277"/>
      <c r="AQ77" s="277"/>
      <c r="AR77" s="277"/>
      <c r="AS77" s="277"/>
      <c r="AT77" s="277"/>
      <c r="AU77" s="277"/>
      <c r="AV77" s="277"/>
    </row>
    <row r="78" spans="1:48" ht="14.45" hidden="1" customHeight="1">
      <c r="A78" s="330">
        <v>12</v>
      </c>
      <c r="B78" s="330" t="s">
        <v>1278</v>
      </c>
      <c r="C78" s="330" t="s">
        <v>1341</v>
      </c>
      <c r="D78" s="331" t="s">
        <v>1280</v>
      </c>
      <c r="E78" s="331" t="s">
        <v>1281</v>
      </c>
      <c r="F78" s="330"/>
      <c r="G78" s="331"/>
      <c r="H78" s="331"/>
      <c r="I78" s="332"/>
      <c r="J78" s="333"/>
      <c r="K78" s="333"/>
      <c r="L78" s="333"/>
      <c r="M78" s="334"/>
      <c r="N78" s="332"/>
      <c r="O78" s="333"/>
      <c r="P78" s="333"/>
      <c r="Q78" s="333"/>
      <c r="R78" s="334"/>
      <c r="S78" s="332"/>
      <c r="T78" s="333"/>
      <c r="U78" s="333"/>
      <c r="V78" s="333"/>
      <c r="W78" s="335"/>
      <c r="X78" s="332"/>
      <c r="Y78" s="333"/>
      <c r="Z78" s="333"/>
      <c r="AA78" s="333"/>
      <c r="AB78" s="335"/>
      <c r="AC78" s="349"/>
      <c r="AD78" s="333"/>
      <c r="AE78" s="333"/>
      <c r="AF78" s="333"/>
      <c r="AG78" s="335"/>
      <c r="AH78" s="349"/>
      <c r="AI78" s="333"/>
      <c r="AJ78" s="333"/>
      <c r="AK78" s="333"/>
      <c r="AL78" s="334"/>
      <c r="AM78" s="340"/>
      <c r="AN78" s="340"/>
      <c r="AO78" s="340"/>
      <c r="AP78" s="340"/>
      <c r="AQ78" s="340"/>
      <c r="AR78" s="340"/>
      <c r="AS78" s="340"/>
      <c r="AT78" s="340"/>
      <c r="AU78" s="340"/>
      <c r="AV78" s="340"/>
    </row>
    <row r="79" spans="1:48" hidden="1">
      <c r="A79" s="246">
        <v>12</v>
      </c>
      <c r="B79" s="246" t="s">
        <v>1232</v>
      </c>
      <c r="C79" s="246" t="s">
        <v>1339</v>
      </c>
      <c r="D79" s="246" t="s">
        <v>1280</v>
      </c>
      <c r="E79" s="246"/>
      <c r="F79" s="268"/>
      <c r="G79" s="246"/>
      <c r="H79" s="246"/>
      <c r="I79" s="296"/>
      <c r="J79" s="294"/>
      <c r="K79" s="294"/>
      <c r="L79" s="294"/>
      <c r="M79" s="312"/>
      <c r="N79" s="296"/>
      <c r="O79" s="294"/>
      <c r="P79" s="294"/>
      <c r="Q79" s="294"/>
      <c r="R79" s="312"/>
      <c r="S79" s="296"/>
      <c r="T79" s="294"/>
      <c r="U79" s="294"/>
      <c r="V79" s="294"/>
      <c r="W79" s="295"/>
      <c r="X79" s="296"/>
      <c r="Y79" s="294"/>
      <c r="Z79" s="294"/>
      <c r="AA79" s="294"/>
      <c r="AB79" s="295"/>
      <c r="AC79" s="292"/>
      <c r="AD79" s="294"/>
      <c r="AE79" s="294"/>
      <c r="AF79" s="294"/>
      <c r="AG79" s="295"/>
      <c r="AH79" s="292"/>
      <c r="AI79" s="294"/>
      <c r="AJ79" s="294"/>
      <c r="AK79" s="294"/>
      <c r="AL79" s="312"/>
      <c r="AM79" s="277"/>
      <c r="AN79" s="277"/>
      <c r="AO79" s="277"/>
      <c r="AP79" s="277"/>
      <c r="AQ79" s="277"/>
      <c r="AR79" s="277"/>
      <c r="AS79" s="277"/>
      <c r="AT79" s="277"/>
      <c r="AU79" s="277"/>
      <c r="AV79" s="277"/>
    </row>
    <row r="80" spans="1:48" hidden="1">
      <c r="A80" s="246">
        <v>12</v>
      </c>
      <c r="B80" s="246" t="s">
        <v>1232</v>
      </c>
      <c r="C80" s="246" t="s">
        <v>1335</v>
      </c>
      <c r="D80" s="246" t="s">
        <v>1280</v>
      </c>
      <c r="E80" s="246"/>
      <c r="F80" s="268"/>
      <c r="G80" s="246"/>
      <c r="H80" s="246"/>
      <c r="I80" s="296"/>
      <c r="J80" s="294"/>
      <c r="K80" s="294"/>
      <c r="L80" s="294"/>
      <c r="M80" s="312"/>
      <c r="N80" s="296"/>
      <c r="O80" s="294"/>
      <c r="P80" s="294"/>
      <c r="Q80" s="294"/>
      <c r="R80" s="312"/>
      <c r="S80" s="296"/>
      <c r="T80" s="294"/>
      <c r="U80" s="294"/>
      <c r="V80" s="294"/>
      <c r="W80" s="295"/>
      <c r="X80" s="296"/>
      <c r="Y80" s="294"/>
      <c r="Z80" s="294"/>
      <c r="AA80" s="294"/>
      <c r="AB80" s="295"/>
      <c r="AC80" s="292"/>
      <c r="AD80" s="294"/>
      <c r="AE80" s="294"/>
      <c r="AF80" s="294"/>
      <c r="AG80" s="295"/>
      <c r="AH80" s="292"/>
      <c r="AI80" s="294"/>
      <c r="AJ80" s="294"/>
      <c r="AK80" s="294"/>
      <c r="AL80" s="312"/>
      <c r="AM80" s="277"/>
      <c r="AN80" s="277"/>
      <c r="AO80" s="277"/>
      <c r="AP80" s="277"/>
      <c r="AQ80" s="277"/>
      <c r="AR80" s="277"/>
      <c r="AS80" s="277"/>
      <c r="AT80" s="277"/>
      <c r="AU80" s="277"/>
      <c r="AV80" s="277"/>
    </row>
    <row r="81" spans="1:48" hidden="1">
      <c r="A81" s="246">
        <v>12</v>
      </c>
      <c r="B81" s="246" t="s">
        <v>1232</v>
      </c>
      <c r="C81" s="246" t="s">
        <v>1342</v>
      </c>
      <c r="D81" s="246" t="s">
        <v>1280</v>
      </c>
      <c r="E81" s="246"/>
      <c r="F81" s="268"/>
      <c r="G81" s="246"/>
      <c r="H81" s="246"/>
      <c r="I81" s="296"/>
      <c r="J81" s="294"/>
      <c r="K81" s="294"/>
      <c r="L81" s="294"/>
      <c r="M81" s="312"/>
      <c r="N81" s="296"/>
      <c r="O81" s="294"/>
      <c r="P81" s="294"/>
      <c r="Q81" s="294"/>
      <c r="R81" s="312"/>
      <c r="S81" s="296"/>
      <c r="T81" s="294"/>
      <c r="U81" s="294"/>
      <c r="V81" s="294"/>
      <c r="W81" s="295"/>
      <c r="X81" s="296"/>
      <c r="Y81" s="294"/>
      <c r="Z81" s="294"/>
      <c r="AA81" s="294"/>
      <c r="AB81" s="295"/>
      <c r="AC81" s="292"/>
      <c r="AD81" s="294"/>
      <c r="AE81" s="294"/>
      <c r="AF81" s="294"/>
      <c r="AG81" s="295"/>
      <c r="AH81" s="292"/>
      <c r="AI81" s="294"/>
      <c r="AJ81" s="294"/>
      <c r="AK81" s="294"/>
      <c r="AL81" s="312"/>
      <c r="AM81" s="277"/>
      <c r="AN81" s="277"/>
      <c r="AO81" s="277"/>
      <c r="AP81" s="277"/>
      <c r="AQ81" s="277"/>
      <c r="AR81" s="277"/>
      <c r="AS81" s="277"/>
      <c r="AT81" s="277"/>
      <c r="AU81" s="277"/>
      <c r="AV81" s="277"/>
    </row>
    <row r="82" spans="1:48" hidden="1">
      <c r="A82" s="246">
        <v>12</v>
      </c>
      <c r="B82" s="246" t="s">
        <v>1232</v>
      </c>
      <c r="C82" s="246" t="s">
        <v>1343</v>
      </c>
      <c r="D82" s="246" t="s">
        <v>1280</v>
      </c>
      <c r="E82" s="246"/>
      <c r="F82" s="268"/>
      <c r="G82" s="246"/>
      <c r="H82" s="246"/>
      <c r="I82" s="296"/>
      <c r="J82" s="294"/>
      <c r="K82" s="294"/>
      <c r="L82" s="294"/>
      <c r="M82" s="312"/>
      <c r="N82" s="296"/>
      <c r="O82" s="294"/>
      <c r="P82" s="294"/>
      <c r="Q82" s="294"/>
      <c r="R82" s="312"/>
      <c r="S82" s="296"/>
      <c r="T82" s="294"/>
      <c r="U82" s="294"/>
      <c r="V82" s="294"/>
      <c r="W82" s="295"/>
      <c r="X82" s="296"/>
      <c r="Y82" s="294"/>
      <c r="Z82" s="294"/>
      <c r="AA82" s="294"/>
      <c r="AB82" s="295"/>
      <c r="AC82" s="292"/>
      <c r="AD82" s="294"/>
      <c r="AE82" s="294"/>
      <c r="AF82" s="294"/>
      <c r="AG82" s="295"/>
      <c r="AH82" s="292"/>
      <c r="AI82" s="294"/>
      <c r="AJ82" s="294"/>
      <c r="AK82" s="294"/>
      <c r="AL82" s="312"/>
      <c r="AM82" s="277"/>
      <c r="AN82" s="277"/>
      <c r="AO82" s="277"/>
      <c r="AP82" s="277"/>
      <c r="AQ82" s="277"/>
      <c r="AR82" s="277"/>
      <c r="AS82" s="277"/>
      <c r="AT82" s="277"/>
      <c r="AU82" s="277"/>
      <c r="AV82" s="277"/>
    </row>
  </sheetData>
  <mergeCells count="14">
    <mergeCell ref="AS47:AT47"/>
    <mergeCell ref="AU52:AV52"/>
    <mergeCell ref="AQ41:AR41"/>
    <mergeCell ref="I1:M1"/>
    <mergeCell ref="N1:R1"/>
    <mergeCell ref="S1:W1"/>
    <mergeCell ref="X1:AB1"/>
    <mergeCell ref="AC1:AG1"/>
    <mergeCell ref="AH1:AL1"/>
    <mergeCell ref="I3:R3"/>
    <mergeCell ref="S13:AB13"/>
    <mergeCell ref="AC22:AL22"/>
    <mergeCell ref="AM29:AN29"/>
    <mergeCell ref="AO35:AP3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B0B4-4FF5-4A7E-9935-C03901696922}">
  <dimension ref="A2:G29"/>
  <sheetViews>
    <sheetView topLeftCell="A6" workbookViewId="0">
      <selection activeCell="C35" sqref="C35"/>
    </sheetView>
  </sheetViews>
  <sheetFormatPr defaultRowHeight="14.45"/>
  <cols>
    <col min="1" max="1" width="27.140625" customWidth="1"/>
    <col min="2" max="2" width="15.85546875" customWidth="1"/>
    <col min="3" max="3" width="15.28515625" customWidth="1"/>
    <col min="4" max="4" width="13.42578125" customWidth="1"/>
  </cols>
  <sheetData>
    <row r="2" spans="1:7">
      <c r="A2" s="190" t="s">
        <v>1395</v>
      </c>
      <c r="B2" s="190" t="s">
        <v>1396</v>
      </c>
      <c r="C2" s="192" t="s">
        <v>1397</v>
      </c>
      <c r="D2" s="190" t="s">
        <v>1398</v>
      </c>
      <c r="G2" t="s">
        <v>1399</v>
      </c>
    </row>
    <row r="3" spans="1:7">
      <c r="A3" s="191" t="s">
        <v>1400</v>
      </c>
      <c r="B3" s="191" t="s">
        <v>1401</v>
      </c>
      <c r="C3" s="193" t="s">
        <v>1402</v>
      </c>
      <c r="D3" s="359">
        <v>1</v>
      </c>
    </row>
    <row r="4" spans="1:7">
      <c r="A4" s="191" t="s">
        <v>1403</v>
      </c>
      <c r="B4" s="191" t="s">
        <v>1404</v>
      </c>
      <c r="C4" s="193" t="s">
        <v>1405</v>
      </c>
      <c r="D4" s="359">
        <v>1</v>
      </c>
    </row>
    <row r="5" spans="1:7">
      <c r="A5" s="191" t="s">
        <v>1406</v>
      </c>
      <c r="B5" s="191" t="s">
        <v>1404</v>
      </c>
      <c r="C5" s="193" t="s">
        <v>1405</v>
      </c>
      <c r="D5" s="359">
        <v>1</v>
      </c>
    </row>
    <row r="6" spans="1:7">
      <c r="A6" s="191"/>
      <c r="B6" s="191" t="s">
        <v>1404</v>
      </c>
      <c r="C6" s="193" t="s">
        <v>1405</v>
      </c>
      <c r="D6" s="359">
        <v>1</v>
      </c>
    </row>
    <row r="7" spans="1:7">
      <c r="A7" s="191" t="s">
        <v>1407</v>
      </c>
      <c r="B7" s="191" t="s">
        <v>1401</v>
      </c>
      <c r="C7" s="193" t="s">
        <v>1405</v>
      </c>
      <c r="D7" s="359">
        <v>1</v>
      </c>
    </row>
    <row r="8" spans="1:7">
      <c r="A8" s="224" t="s">
        <v>1408</v>
      </c>
      <c r="B8" s="224" t="s">
        <v>1401</v>
      </c>
      <c r="C8" s="236" t="s">
        <v>1405</v>
      </c>
      <c r="D8" s="359">
        <v>0.5</v>
      </c>
    </row>
    <row r="9" spans="1:7">
      <c r="A9" s="191" t="s">
        <v>1409</v>
      </c>
      <c r="B9" s="191" t="s">
        <v>1404</v>
      </c>
      <c r="C9" s="193" t="s">
        <v>1410</v>
      </c>
      <c r="D9" s="359">
        <v>1</v>
      </c>
    </row>
    <row r="10" spans="1:7">
      <c r="A10" s="191" t="s">
        <v>1411</v>
      </c>
      <c r="B10" s="191" t="s">
        <v>1404</v>
      </c>
      <c r="C10" s="193" t="s">
        <v>1410</v>
      </c>
      <c r="D10" s="359">
        <v>1</v>
      </c>
    </row>
    <row r="11" spans="1:7">
      <c r="A11" s="191" t="s">
        <v>1412</v>
      </c>
      <c r="B11" s="191" t="s">
        <v>1404</v>
      </c>
      <c r="C11" s="193" t="s">
        <v>1410</v>
      </c>
      <c r="D11" s="359">
        <v>1</v>
      </c>
    </row>
    <row r="12" spans="1:7">
      <c r="A12" t="s">
        <v>1413</v>
      </c>
    </row>
    <row r="13" spans="1:7">
      <c r="A13" t="s">
        <v>1414</v>
      </c>
    </row>
    <row r="14" spans="1:7">
      <c r="A14" t="s">
        <v>1415</v>
      </c>
    </row>
    <row r="16" spans="1:7" ht="15">
      <c r="A16" s="190" t="s">
        <v>834</v>
      </c>
      <c r="B16" s="190" t="s">
        <v>501</v>
      </c>
      <c r="C16" t="s">
        <v>1416</v>
      </c>
    </row>
    <row r="17" spans="1:3" ht="15">
      <c r="A17" s="191" t="s">
        <v>1417</v>
      </c>
      <c r="B17" s="191" t="s">
        <v>1406</v>
      </c>
    </row>
    <row r="18" spans="1:3" ht="15">
      <c r="A18" s="191" t="s">
        <v>1407</v>
      </c>
      <c r="B18" s="191" t="s">
        <v>1414</v>
      </c>
    </row>
    <row r="19" spans="1:3" ht="15">
      <c r="A19" s="191" t="s">
        <v>1413</v>
      </c>
      <c r="B19" s="191" t="s">
        <v>1418</v>
      </c>
    </row>
    <row r="20" spans="1:3" ht="15">
      <c r="A20" s="191" t="s">
        <v>1419</v>
      </c>
      <c r="B20" s="191" t="s">
        <v>1420</v>
      </c>
      <c r="C20" t="s">
        <v>1421</v>
      </c>
    </row>
    <row r="21" spans="1:3" ht="15">
      <c r="A21" s="191" t="s">
        <v>1422</v>
      </c>
      <c r="B21" s="191" t="s">
        <v>1423</v>
      </c>
      <c r="C21" t="s">
        <v>1424</v>
      </c>
    </row>
    <row r="23" spans="1:3">
      <c r="A23" t="s">
        <v>1425</v>
      </c>
    </row>
    <row r="24" spans="1:3" ht="15">
      <c r="A24" s="189" t="s">
        <v>1426</v>
      </c>
    </row>
    <row r="25" spans="1:3">
      <c r="A25" t="s">
        <v>369</v>
      </c>
      <c r="B25" t="s">
        <v>1420</v>
      </c>
    </row>
    <row r="26" spans="1:3">
      <c r="A26" t="s">
        <v>1427</v>
      </c>
      <c r="B26" t="s">
        <v>1420</v>
      </c>
    </row>
    <row r="27" spans="1:3">
      <c r="A27" t="s">
        <v>1428</v>
      </c>
      <c r="B27" t="s">
        <v>1429</v>
      </c>
      <c r="C27" t="s">
        <v>1430</v>
      </c>
    </row>
    <row r="28" spans="1:3">
      <c r="A28" t="s">
        <v>1431</v>
      </c>
      <c r="B28" t="s">
        <v>1281</v>
      </c>
    </row>
    <row r="29" spans="1:3">
      <c r="A29" t="s">
        <v>1432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F0290-9C14-4AA0-B37F-149C409F30CA}">
  <dimension ref="B1:E7"/>
  <sheetViews>
    <sheetView workbookViewId="0">
      <selection activeCell="E3" sqref="E3"/>
    </sheetView>
  </sheetViews>
  <sheetFormatPr defaultRowHeight="14.45"/>
  <cols>
    <col min="1" max="1" width="2.5703125" customWidth="1"/>
    <col min="2" max="2" width="16.140625" customWidth="1"/>
    <col min="3" max="3" width="18.85546875" customWidth="1"/>
    <col min="4" max="4" width="23.85546875" customWidth="1"/>
    <col min="5" max="5" width="31" customWidth="1"/>
  </cols>
  <sheetData>
    <row r="1" spans="2:5" ht="11.1" customHeight="1"/>
    <row r="2" spans="2:5">
      <c r="B2" s="1" t="s">
        <v>9</v>
      </c>
      <c r="C2" s="1" t="s">
        <v>1268</v>
      </c>
      <c r="D2" s="1" t="s">
        <v>1433</v>
      </c>
      <c r="E2" s="1" t="s">
        <v>2</v>
      </c>
    </row>
    <row r="3" spans="2:5">
      <c r="B3" t="s">
        <v>23</v>
      </c>
      <c r="C3" t="s">
        <v>1434</v>
      </c>
      <c r="D3" t="s">
        <v>23</v>
      </c>
      <c r="E3" s="5" t="s">
        <v>239</v>
      </c>
    </row>
    <row r="4" spans="2:5">
      <c r="B4" t="s">
        <v>1435</v>
      </c>
      <c r="C4" t="s">
        <v>376</v>
      </c>
      <c r="D4" t="s">
        <v>1435</v>
      </c>
      <c r="E4" s="5" t="s">
        <v>318</v>
      </c>
    </row>
    <row r="5" spans="2:5">
      <c r="B5" t="s">
        <v>1436</v>
      </c>
      <c r="C5" t="s">
        <v>1437</v>
      </c>
      <c r="D5" t="s">
        <v>1436</v>
      </c>
      <c r="E5" s="5" t="s">
        <v>309</v>
      </c>
    </row>
    <row r="6" spans="2:5">
      <c r="E6" s="5" t="s">
        <v>254</v>
      </c>
    </row>
    <row r="7" spans="2:5">
      <c r="E7" s="5" t="s">
        <v>1438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3EEC-A94F-4FE7-88DF-7A70C0798A3E}">
  <dimension ref="A1:G59"/>
  <sheetViews>
    <sheetView topLeftCell="B2" workbookViewId="0">
      <selection activeCell="D11" sqref="D11"/>
    </sheetView>
  </sheetViews>
  <sheetFormatPr defaultColWidth="9.140625" defaultRowHeight="15"/>
  <cols>
    <col min="1" max="1" width="38.42578125" customWidth="1"/>
    <col min="2" max="2" width="113.28515625" customWidth="1"/>
    <col min="3" max="3" width="46.140625" customWidth="1"/>
    <col min="4" max="4" width="22.85546875" customWidth="1"/>
    <col min="5" max="5" width="81.42578125" customWidth="1"/>
    <col min="6" max="6" width="43.85546875" customWidth="1"/>
    <col min="7" max="7" width="26.28515625" customWidth="1"/>
  </cols>
  <sheetData>
    <row r="1" spans="1:7">
      <c r="A1" s="190" t="s">
        <v>1439</v>
      </c>
      <c r="B1" s="190" t="s">
        <v>1440</v>
      </c>
      <c r="C1" s="190" t="s">
        <v>1441</v>
      </c>
      <c r="D1" s="190" t="s">
        <v>1442</v>
      </c>
      <c r="E1" s="190" t="s">
        <v>1443</v>
      </c>
      <c r="F1" s="190" t="s">
        <v>1444</v>
      </c>
      <c r="G1" s="190" t="s">
        <v>1445</v>
      </c>
    </row>
    <row r="2" spans="1:7" ht="101.25">
      <c r="A2" s="191" t="s">
        <v>1446</v>
      </c>
      <c r="B2" s="208" t="s">
        <v>1447</v>
      </c>
      <c r="C2" s="191" t="s">
        <v>1448</v>
      </c>
      <c r="D2" s="208" t="s">
        <v>1449</v>
      </c>
      <c r="E2" s="208" t="s">
        <v>1450</v>
      </c>
      <c r="F2" s="208" t="s">
        <v>1451</v>
      </c>
      <c r="G2" s="191">
        <v>3</v>
      </c>
    </row>
    <row r="3" spans="1:7" ht="43.5">
      <c r="A3" s="191" t="s">
        <v>1452</v>
      </c>
      <c r="B3" s="191" t="s">
        <v>1453</v>
      </c>
      <c r="C3" s="208" t="s">
        <v>1454</v>
      </c>
      <c r="D3" s="191"/>
      <c r="E3" s="191" t="s">
        <v>1455</v>
      </c>
      <c r="F3" s="208" t="s">
        <v>1456</v>
      </c>
      <c r="G3" s="191">
        <v>0.5</v>
      </c>
    </row>
    <row r="4" spans="1:7" ht="43.5">
      <c r="A4" s="191" t="s">
        <v>1457</v>
      </c>
      <c r="B4" s="191" t="s">
        <v>1458</v>
      </c>
      <c r="C4" s="208" t="s">
        <v>1454</v>
      </c>
      <c r="D4" s="191"/>
      <c r="E4" s="191" t="s">
        <v>1455</v>
      </c>
      <c r="F4" s="208" t="s">
        <v>1456</v>
      </c>
      <c r="G4" s="191">
        <v>0.5</v>
      </c>
    </row>
    <row r="5" spans="1:7" ht="43.5">
      <c r="A5" s="191" t="s">
        <v>1421</v>
      </c>
      <c r="B5" s="191" t="s">
        <v>1459</v>
      </c>
      <c r="C5" s="191"/>
      <c r="D5" s="191"/>
      <c r="E5" s="191" t="s">
        <v>1460</v>
      </c>
      <c r="F5" s="208" t="s">
        <v>1461</v>
      </c>
      <c r="G5" s="191">
        <v>1</v>
      </c>
    </row>
    <row r="6" spans="1:7">
      <c r="A6" s="191" t="s">
        <v>137</v>
      </c>
      <c r="B6" s="191" t="s">
        <v>1462</v>
      </c>
      <c r="C6" s="191" t="s">
        <v>1463</v>
      </c>
      <c r="D6" s="191"/>
      <c r="E6" s="191"/>
      <c r="F6" s="208" t="s">
        <v>1456</v>
      </c>
      <c r="G6" s="191">
        <v>0.5</v>
      </c>
    </row>
    <row r="7" spans="1:7" ht="29.25">
      <c r="A7" s="191" t="s">
        <v>1464</v>
      </c>
      <c r="B7" s="191" t="s">
        <v>1465</v>
      </c>
      <c r="C7" s="191"/>
      <c r="D7" s="191"/>
      <c r="E7" s="191"/>
      <c r="F7" s="208" t="s">
        <v>1466</v>
      </c>
      <c r="G7" s="191">
        <v>1</v>
      </c>
    </row>
    <row r="8" spans="1:7" ht="29.25">
      <c r="A8" s="191" t="s">
        <v>1467</v>
      </c>
      <c r="B8" s="191" t="s">
        <v>1468</v>
      </c>
      <c r="C8" s="191"/>
      <c r="D8" s="191"/>
      <c r="E8" s="191"/>
      <c r="F8" s="208" t="s">
        <v>1466</v>
      </c>
      <c r="G8" s="191">
        <v>1</v>
      </c>
    </row>
    <row r="12" spans="1:7">
      <c r="F12" t="s">
        <v>1469</v>
      </c>
      <c r="G12" t="s">
        <v>1470</v>
      </c>
    </row>
    <row r="13" spans="1:7">
      <c r="A13" s="190" t="s">
        <v>1439</v>
      </c>
      <c r="B13" s="190" t="s">
        <v>1471</v>
      </c>
      <c r="F13" t="s">
        <v>1472</v>
      </c>
    </row>
    <row r="14" spans="1:7">
      <c r="A14" s="191" t="s">
        <v>1446</v>
      </c>
      <c r="B14" s="191" t="s">
        <v>1131</v>
      </c>
      <c r="F14" t="s">
        <v>137</v>
      </c>
    </row>
    <row r="15" spans="1:7">
      <c r="A15" s="191" t="s">
        <v>1452</v>
      </c>
      <c r="B15" s="191" t="s">
        <v>1131</v>
      </c>
    </row>
    <row r="16" spans="1:7">
      <c r="A16" s="191" t="s">
        <v>1457</v>
      </c>
      <c r="B16" s="191" t="s">
        <v>1131</v>
      </c>
    </row>
    <row r="17" spans="1:6">
      <c r="A17" s="191" t="s">
        <v>1421</v>
      </c>
      <c r="B17" s="191" t="s">
        <v>1131</v>
      </c>
      <c r="F17" t="s">
        <v>1473</v>
      </c>
    </row>
    <row r="18" spans="1:6">
      <c r="A18" s="191" t="s">
        <v>137</v>
      </c>
      <c r="B18" s="191" t="s">
        <v>1131</v>
      </c>
    </row>
    <row r="19" spans="1:6">
      <c r="A19" s="191" t="s">
        <v>1464</v>
      </c>
      <c r="B19" s="191" t="s">
        <v>1131</v>
      </c>
    </row>
    <row r="20" spans="1:6">
      <c r="A20" s="191" t="s">
        <v>1467</v>
      </c>
      <c r="B20" s="191" t="s">
        <v>1131</v>
      </c>
    </row>
    <row r="21" spans="1:6">
      <c r="A21" s="191" t="s">
        <v>1474</v>
      </c>
      <c r="B21" s="191" t="s">
        <v>1475</v>
      </c>
    </row>
    <row r="22" spans="1:6">
      <c r="A22" s="224" t="s">
        <v>1476</v>
      </c>
      <c r="B22" s="224" t="s">
        <v>1475</v>
      </c>
    </row>
    <row r="23" spans="1:6">
      <c r="A23" s="191" t="s">
        <v>1477</v>
      </c>
      <c r="B23" s="191" t="s">
        <v>1478</v>
      </c>
    </row>
    <row r="26" spans="1:6">
      <c r="A26" s="191" t="s">
        <v>1479</v>
      </c>
      <c r="B26" s="191"/>
      <c r="C26" s="191"/>
    </row>
    <row r="27" spans="1:6">
      <c r="A27" s="191" t="s">
        <v>1480</v>
      </c>
      <c r="B27" s="191" t="s">
        <v>1481</v>
      </c>
      <c r="C27" s="191" t="s">
        <v>1482</v>
      </c>
    </row>
    <row r="28" spans="1:6">
      <c r="A28" s="191" t="s">
        <v>1483</v>
      </c>
      <c r="B28" s="191" t="s">
        <v>1481</v>
      </c>
      <c r="C28" s="191" t="s">
        <v>1484</v>
      </c>
    </row>
    <row r="29" spans="1:6">
      <c r="A29" s="191" t="s">
        <v>1483</v>
      </c>
      <c r="B29" s="191" t="s">
        <v>1481</v>
      </c>
      <c r="C29" s="191" t="s">
        <v>1485</v>
      </c>
    </row>
    <row r="30" spans="1:6">
      <c r="A30" s="191" t="s">
        <v>1483</v>
      </c>
      <c r="B30" s="191" t="s">
        <v>1481</v>
      </c>
      <c r="C30" s="191" t="s">
        <v>1486</v>
      </c>
    </row>
    <row r="31" spans="1:6">
      <c r="A31" s="191" t="s">
        <v>1483</v>
      </c>
      <c r="B31" s="191" t="s">
        <v>1481</v>
      </c>
      <c r="C31" s="191" t="s">
        <v>1487</v>
      </c>
    </row>
    <row r="32" spans="1:6">
      <c r="A32" s="191" t="s">
        <v>1483</v>
      </c>
      <c r="B32" s="191" t="s">
        <v>1481</v>
      </c>
      <c r="C32" s="191" t="s">
        <v>1488</v>
      </c>
    </row>
    <row r="33" spans="1:3">
      <c r="A33" s="191" t="s">
        <v>1483</v>
      </c>
      <c r="B33" s="191" t="s">
        <v>1489</v>
      </c>
      <c r="C33" s="191" t="s">
        <v>1482</v>
      </c>
    </row>
    <row r="34" spans="1:3">
      <c r="A34" s="191" t="s">
        <v>1483</v>
      </c>
      <c r="B34" s="191" t="s">
        <v>1489</v>
      </c>
      <c r="C34" s="191" t="s">
        <v>1485</v>
      </c>
    </row>
    <row r="35" spans="1:3">
      <c r="A35" s="191" t="s">
        <v>1483</v>
      </c>
      <c r="B35" s="191" t="s">
        <v>1489</v>
      </c>
      <c r="C35" s="191" t="s">
        <v>1484</v>
      </c>
    </row>
    <row r="36" spans="1:3">
      <c r="A36" s="191" t="s">
        <v>1490</v>
      </c>
      <c r="B36" s="191" t="s">
        <v>1491</v>
      </c>
      <c r="C36" s="191" t="s">
        <v>1482</v>
      </c>
    </row>
    <row r="37" spans="1:3">
      <c r="A37" s="191" t="s">
        <v>1490</v>
      </c>
      <c r="B37" s="191" t="s">
        <v>1491</v>
      </c>
      <c r="C37" s="191" t="s">
        <v>1484</v>
      </c>
    </row>
    <row r="38" spans="1:3">
      <c r="A38" s="191" t="s">
        <v>1490</v>
      </c>
      <c r="B38" s="191" t="s">
        <v>1492</v>
      </c>
      <c r="C38" s="191" t="s">
        <v>1482</v>
      </c>
    </row>
    <row r="39" spans="1:3">
      <c r="A39" s="191" t="s">
        <v>1490</v>
      </c>
      <c r="B39" s="191" t="s">
        <v>1492</v>
      </c>
      <c r="C39" s="191" t="s">
        <v>1484</v>
      </c>
    </row>
    <row r="40" spans="1:3">
      <c r="A40" s="191" t="s">
        <v>1490</v>
      </c>
      <c r="B40" s="191" t="s">
        <v>1492</v>
      </c>
      <c r="C40" s="191" t="s">
        <v>1485</v>
      </c>
    </row>
    <row r="41" spans="1:3">
      <c r="A41" s="191" t="s">
        <v>1490</v>
      </c>
      <c r="B41" s="191" t="s">
        <v>1493</v>
      </c>
      <c r="C41" s="191" t="s">
        <v>1482</v>
      </c>
    </row>
    <row r="42" spans="1:3">
      <c r="A42" s="191" t="s">
        <v>1490</v>
      </c>
      <c r="B42" s="191" t="s">
        <v>1493</v>
      </c>
      <c r="C42" s="191" t="s">
        <v>1484</v>
      </c>
    </row>
    <row r="43" spans="1:3">
      <c r="A43" s="191" t="s">
        <v>1490</v>
      </c>
      <c r="B43" s="191" t="s">
        <v>1493</v>
      </c>
      <c r="C43" s="191" t="s">
        <v>1494</v>
      </c>
    </row>
    <row r="50" spans="1:5">
      <c r="A50" s="190" t="s">
        <v>1495</v>
      </c>
      <c r="B50" s="192" t="s">
        <v>1496</v>
      </c>
      <c r="C50" s="190" t="s">
        <v>834</v>
      </c>
    </row>
    <row r="51" spans="1:5" ht="143.25" customHeight="1">
      <c r="A51" s="227" t="s">
        <v>1497</v>
      </c>
      <c r="B51" s="387" t="s">
        <v>1498</v>
      </c>
      <c r="C51" s="208" t="s">
        <v>1499</v>
      </c>
    </row>
    <row r="52" spans="1:5" ht="24.75" customHeight="1">
      <c r="A52" s="191" t="s">
        <v>1500</v>
      </c>
      <c r="B52" s="193" t="s">
        <v>1501</v>
      </c>
      <c r="C52" s="191"/>
    </row>
    <row r="58" spans="1:5">
      <c r="D58" t="s">
        <v>501</v>
      </c>
      <c r="E58">
        <v>3000</v>
      </c>
    </row>
    <row r="59" spans="1:5">
      <c r="D59" t="s">
        <v>834</v>
      </c>
      <c r="E59">
        <v>3500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88835-5897-4A62-BF9D-DFF58D4752B9}">
  <dimension ref="A1:G1"/>
  <sheetViews>
    <sheetView workbookViewId="0">
      <selection activeCell="E17" sqref="E17"/>
    </sheetView>
  </sheetViews>
  <sheetFormatPr defaultRowHeight="15"/>
  <cols>
    <col min="1" max="1" width="33.140625" customWidth="1"/>
    <col min="2" max="2" width="33.28515625" customWidth="1"/>
    <col min="3" max="3" width="31.5703125" customWidth="1"/>
    <col min="4" max="4" width="26.5703125" customWidth="1"/>
    <col min="5" max="5" width="31.28515625" customWidth="1"/>
    <col min="6" max="6" width="36.28515625" customWidth="1"/>
    <col min="7" max="7" width="34.140625" customWidth="1"/>
  </cols>
  <sheetData>
    <row r="1" spans="1:7">
      <c r="A1" s="190" t="s">
        <v>1502</v>
      </c>
      <c r="B1" s="190" t="s">
        <v>1503</v>
      </c>
      <c r="C1" s="190" t="s">
        <v>1441</v>
      </c>
      <c r="D1" s="190" t="s">
        <v>1442</v>
      </c>
      <c r="E1" s="190" t="s">
        <v>1443</v>
      </c>
      <c r="F1" s="190" t="s">
        <v>1504</v>
      </c>
      <c r="G1" s="190" t="s">
        <v>1445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E2CB149969254B9C30A1E6D3101B95" ma:contentTypeVersion="16" ma:contentTypeDescription="Create a new document." ma:contentTypeScope="" ma:versionID="1abdb7f578e3426f6552e5e6b427c33f">
  <xsd:schema xmlns:xsd="http://www.w3.org/2001/XMLSchema" xmlns:xs="http://www.w3.org/2001/XMLSchema" xmlns:p="http://schemas.microsoft.com/office/2006/metadata/properties" xmlns:ns2="eaf72748-74eb-4956-a3e4-f0af3c434077" xmlns:ns3="ee962a6b-1d2b-4986-b5ea-29adf479c5b6" targetNamespace="http://schemas.microsoft.com/office/2006/metadata/properties" ma:root="true" ma:fieldsID="e44029c98fe6b00586aec507ac039370" ns2:_="" ns3:_="">
    <xsd:import namespace="eaf72748-74eb-4956-a3e4-f0af3c434077"/>
    <xsd:import namespace="ee962a6b-1d2b-4986-b5ea-29adf479c5b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f72748-74eb-4956-a3e4-f0af3c4340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3ef62f9-2e07-484b-bd79-00aec90129fe"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962a6b-1d2b-4986-b5ea-29adf479c5b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a3c0460-2e28-4473-84a3-2bb8ca5d1b54}" ma:internalName="TaxCatchAll" ma:showField="CatchAllData" ma:web="ee962a6b-1d2b-4986-b5ea-29adf479c5b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af72748-74eb-4956-a3e4-f0af3c434077">
      <Terms xmlns="http://schemas.microsoft.com/office/infopath/2007/PartnerControls"/>
    </lcf76f155ced4ddcb4097134ff3c332f>
    <TaxCatchAll xmlns="ee962a6b-1d2b-4986-b5ea-29adf479c5b6" xsi:nil="true"/>
  </documentManagement>
</p:properties>
</file>

<file path=customXml/itemProps1.xml><?xml version="1.0" encoding="utf-8"?>
<ds:datastoreItem xmlns:ds="http://schemas.openxmlformats.org/officeDocument/2006/customXml" ds:itemID="{ED89E16A-A391-4573-B3BF-0C37C1A646A5}"/>
</file>

<file path=customXml/itemProps2.xml><?xml version="1.0" encoding="utf-8"?>
<ds:datastoreItem xmlns:ds="http://schemas.openxmlformats.org/officeDocument/2006/customXml" ds:itemID="{34D328DF-0F32-4AEC-95CF-CBC4B56E250A}"/>
</file>

<file path=customXml/itemProps3.xml><?xml version="1.0" encoding="utf-8"?>
<ds:datastoreItem xmlns:ds="http://schemas.openxmlformats.org/officeDocument/2006/customXml" ds:itemID="{21510556-BF44-4970-B49A-9B94808FC1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Caroline A Chisolm</dc:creator>
  <cp:keywords/>
  <dc:description/>
  <cp:lastModifiedBy>Cynthia Pauline P</cp:lastModifiedBy>
  <cp:revision/>
  <dcterms:created xsi:type="dcterms:W3CDTF">2025-05-01T19:04:08Z</dcterms:created>
  <dcterms:modified xsi:type="dcterms:W3CDTF">2026-02-02T14:37:23Z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0x01010012E2CB149969254B9C30A1E6D3101B95</vt:lpwstr>
  </property>
  <property fmtid="{D5CDD505-2E9C-101B-9397-08002B2CF9AE}" pid="3" name="MediaServiceImageTags">
    <vt:lpwstr/>
  </property>
</Properties>
</file>